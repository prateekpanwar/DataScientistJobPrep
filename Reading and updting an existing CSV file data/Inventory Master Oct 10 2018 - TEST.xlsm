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3090" windowWidth="10485" windowHeight="5730" tabRatio="683" activeTab="4"/>
  </bookViews>
  <sheets>
    <sheet name="Warehouse Inventory" sheetId="1" r:id="rId1"/>
    <sheet name="Warehouse B" sheetId="8" r:id="rId2"/>
    <sheet name="PARTS" sheetId="5" r:id="rId3"/>
    <sheet name="Listing Inventory" sheetId="6" r:id="rId4"/>
    <sheet name="Total Quantity" sheetId="9" r:id="rId5"/>
  </sheets>
  <definedNames>
    <definedName name="_xlnm._FilterDatabase" localSheetId="3" hidden="1">'Listing Inventory'!$A$4:$G$644</definedName>
    <definedName name="_xlnm._FilterDatabase" localSheetId="0" hidden="1">'Warehouse Inventory'!$A$1:$C$643</definedName>
  </definedNames>
  <calcPr calcId="125725"/>
</workbook>
</file>

<file path=xl/calcChain.xml><?xml version="1.0" encoding="utf-8"?>
<calcChain xmlns="http://schemas.openxmlformats.org/spreadsheetml/2006/main">
  <c r="F6" i="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6"/>
  <c r="F27"/>
  <c r="F28"/>
  <c r="F29"/>
  <c r="F30"/>
  <c r="F31"/>
  <c r="F32"/>
  <c r="F33"/>
  <c r="F34"/>
  <c r="F35"/>
  <c r="F36"/>
  <c r="F41"/>
  <c r="F48"/>
  <c r="F49"/>
  <c r="F50"/>
  <c r="F51"/>
  <c r="F52"/>
  <c r="F53"/>
  <c r="F54"/>
  <c r="F55"/>
  <c r="F56"/>
  <c r="F57"/>
  <c r="F58"/>
  <c r="F61"/>
  <c r="F62"/>
  <c r="F63"/>
  <c r="F64"/>
  <c r="F65"/>
  <c r="F66"/>
  <c r="F67"/>
  <c r="F68"/>
  <c r="F69"/>
  <c r="F70"/>
  <c r="F71"/>
  <c r="F72"/>
  <c r="F73"/>
  <c r="F74"/>
  <c r="F75"/>
  <c r="F77"/>
  <c r="F78"/>
  <c r="F79"/>
  <c r="F80"/>
  <c r="F81"/>
  <c r="F82"/>
  <c r="F83"/>
  <c r="F84"/>
  <c r="F86"/>
  <c r="F87"/>
  <c r="F88"/>
  <c r="F89"/>
  <c r="F90"/>
  <c r="F91"/>
  <c r="F92"/>
  <c r="F96"/>
  <c r="F97"/>
  <c r="F98"/>
  <c r="F99"/>
  <c r="F100"/>
  <c r="F102"/>
  <c r="F103"/>
  <c r="F105"/>
  <c r="F106"/>
  <c r="F108"/>
  <c r="F110"/>
  <c r="F112"/>
  <c r="F113"/>
  <c r="F116"/>
  <c r="F117"/>
  <c r="F118"/>
  <c r="F119"/>
  <c r="F121"/>
  <c r="F122"/>
  <c r="F123"/>
  <c r="F124"/>
  <c r="F125"/>
  <c r="F126"/>
  <c r="F128"/>
  <c r="F129"/>
  <c r="F131"/>
  <c r="F132"/>
  <c r="F133"/>
  <c r="F134"/>
  <c r="F135"/>
  <c r="F136"/>
  <c r="F137"/>
  <c r="F139"/>
  <c r="F140"/>
  <c r="F141"/>
  <c r="F142"/>
  <c r="F145"/>
  <c r="F147"/>
  <c r="F148"/>
  <c r="F149"/>
  <c r="F150"/>
  <c r="F151"/>
  <c r="F152"/>
  <c r="F156"/>
  <c r="F157"/>
  <c r="F158"/>
  <c r="F159"/>
  <c r="F161"/>
  <c r="F162"/>
  <c r="F164"/>
  <c r="F170"/>
  <c r="F172"/>
  <c r="F173"/>
  <c r="F176"/>
  <c r="F177"/>
  <c r="F178"/>
  <c r="F179"/>
  <c r="F180"/>
  <c r="F181"/>
  <c r="F182"/>
  <c r="F184"/>
  <c r="F185"/>
  <c r="F187"/>
  <c r="F188"/>
  <c r="F191"/>
  <c r="F192"/>
  <c r="F193"/>
  <c r="F194"/>
  <c r="F196"/>
  <c r="F197"/>
  <c r="F199"/>
  <c r="F200"/>
  <c r="F201"/>
  <c r="F202"/>
  <c r="F203"/>
  <c r="F204"/>
  <c r="F205"/>
  <c r="F206"/>
  <c r="F222"/>
  <c r="F224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6"/>
  <c r="F247"/>
  <c r="F248"/>
  <c r="F249"/>
  <c r="F250"/>
  <c r="F251"/>
  <c r="F252"/>
  <c r="F253"/>
  <c r="F254"/>
  <c r="F255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5"/>
  <c r="F280"/>
  <c r="F281"/>
  <c r="F282"/>
  <c r="F290"/>
  <c r="F291"/>
  <c r="F292"/>
  <c r="F293"/>
  <c r="F294"/>
  <c r="F297"/>
  <c r="F298"/>
  <c r="F299"/>
  <c r="F300"/>
  <c r="F303"/>
  <c r="F304"/>
  <c r="F305"/>
  <c r="F306"/>
  <c r="F309"/>
  <c r="F312"/>
  <c r="F314"/>
  <c r="F316"/>
  <c r="F318"/>
  <c r="F320"/>
  <c r="F321"/>
  <c r="F322"/>
  <c r="F324"/>
  <c r="F325"/>
  <c r="F326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9"/>
  <c r="F360"/>
  <c r="F361"/>
  <c r="F362"/>
  <c r="F363"/>
  <c r="F364"/>
  <c r="F365"/>
  <c r="F367"/>
  <c r="F368"/>
  <c r="F369"/>
  <c r="F371"/>
  <c r="F372"/>
  <c r="F373"/>
  <c r="F374"/>
  <c r="F376"/>
  <c r="F377"/>
  <c r="F378"/>
  <c r="F379"/>
  <c r="F380"/>
  <c r="F381"/>
  <c r="F382"/>
  <c r="F383"/>
  <c r="F384"/>
  <c r="F385"/>
  <c r="F386"/>
  <c r="F388"/>
  <c r="F389"/>
  <c r="F390"/>
  <c r="F391"/>
  <c r="F392"/>
  <c r="F393"/>
  <c r="F394"/>
  <c r="F395"/>
  <c r="F396"/>
  <c r="F397"/>
  <c r="F398"/>
  <c r="F399"/>
  <c r="F400"/>
  <c r="F401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5"/>
  <c r="F436"/>
  <c r="F437"/>
  <c r="F438"/>
  <c r="F439"/>
  <c r="F442"/>
  <c r="F444"/>
  <c r="F445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8"/>
  <c r="F589"/>
  <c r="F590"/>
  <c r="F591"/>
  <c r="F592"/>
  <c r="F593"/>
  <c r="F594"/>
  <c r="F595"/>
  <c r="F605"/>
  <c r="F606"/>
  <c r="F609"/>
  <c r="F610"/>
  <c r="F617"/>
  <c r="F619"/>
  <c r="F620"/>
  <c r="F621"/>
  <c r="F622"/>
  <c r="F625"/>
  <c r="F628"/>
  <c r="F629"/>
  <c r="F630"/>
  <c r="F631"/>
  <c r="F632"/>
  <c r="F633"/>
  <c r="F634"/>
  <c r="F635"/>
  <c r="F636"/>
  <c r="F637"/>
  <c r="F638"/>
  <c r="F639"/>
  <c r="F640"/>
  <c r="F641"/>
  <c r="F642"/>
  <c r="F5"/>
  <c r="J136" i="8" l="1"/>
  <c r="K136"/>
  <c r="J137"/>
  <c r="K137"/>
  <c r="J138"/>
  <c r="K138"/>
  <c r="J139"/>
  <c r="K139"/>
  <c r="J140"/>
  <c r="K140"/>
  <c r="J141"/>
  <c r="K141"/>
  <c r="J142"/>
  <c r="K142"/>
  <c r="J143"/>
  <c r="K143"/>
  <c r="J144"/>
  <c r="K144"/>
  <c r="J145"/>
  <c r="K145"/>
  <c r="J146"/>
  <c r="K146"/>
  <c r="J147"/>
  <c r="K147"/>
  <c r="J148"/>
  <c r="K148"/>
  <c r="L146" l="1"/>
  <c r="F358" i="6" s="1"/>
  <c r="L144" i="8"/>
  <c r="F310" i="6" s="1"/>
  <c r="L142" i="8"/>
  <c r="F276" i="6" s="1"/>
  <c r="L138" i="8"/>
  <c r="F186" i="6" s="1"/>
  <c r="L136" i="8"/>
  <c r="F171" i="6" s="1"/>
  <c r="L147" i="8"/>
  <c r="F375" i="6" s="1"/>
  <c r="L137" i="8"/>
  <c r="F183" i="6" s="1"/>
  <c r="L145" i="8"/>
  <c r="F366" i="6" s="1"/>
  <c r="L143" i="8"/>
  <c r="L140"/>
  <c r="L148"/>
  <c r="F370" i="6" s="1"/>
  <c r="L141" i="8"/>
  <c r="F274" i="6" s="1"/>
  <c r="L139" i="8"/>
  <c r="F195" i="6" s="1"/>
  <c r="J41" i="1"/>
  <c r="K41"/>
  <c r="J42"/>
  <c r="K42"/>
  <c r="J11" i="8"/>
  <c r="K11"/>
  <c r="J12"/>
  <c r="K12"/>
  <c r="L41" i="1" l="1"/>
  <c r="E46" i="6" s="1"/>
  <c r="L12" i="8"/>
  <c r="F47" i="6" s="1"/>
  <c r="L42" i="1"/>
  <c r="E47" i="6" s="1"/>
  <c r="L11" i="8"/>
  <c r="F46" i="6" s="1"/>
  <c r="J135" i="8"/>
  <c r="K135"/>
  <c r="J134"/>
  <c r="K134"/>
  <c r="D46" i="6" l="1"/>
  <c r="C46" s="1"/>
  <c r="D47"/>
  <c r="C47" s="1"/>
  <c r="L135" i="8"/>
  <c r="F155" i="6" s="1"/>
  <c r="L134" i="8"/>
  <c r="F277" i="6" s="1"/>
  <c r="M3" i="1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2"/>
  <c r="K602"/>
  <c r="J599"/>
  <c r="K599"/>
  <c r="J133" i="8"/>
  <c r="K133"/>
  <c r="L599" i="1" l="1"/>
  <c r="E598" i="6" s="1"/>
  <c r="L133" i="8"/>
  <c r="F598" i="6" s="1"/>
  <c r="J597" i="1"/>
  <c r="K597"/>
  <c r="J598"/>
  <c r="K598"/>
  <c r="J112" i="8"/>
  <c r="K112"/>
  <c r="J113"/>
  <c r="K113"/>
  <c r="D598" i="6" l="1"/>
  <c r="C598" s="1"/>
  <c r="L112" i="8"/>
  <c r="F596" i="6" s="1"/>
  <c r="L597" i="1"/>
  <c r="E596" i="6" s="1"/>
  <c r="L598" i="1"/>
  <c r="E597" i="6" s="1"/>
  <c r="L113" i="8"/>
  <c r="F597" i="6" s="1"/>
  <c r="J619" i="1"/>
  <c r="K619"/>
  <c r="J127" i="8"/>
  <c r="K127"/>
  <c r="J128"/>
  <c r="K128"/>
  <c r="J129"/>
  <c r="K129"/>
  <c r="J130"/>
  <c r="K130"/>
  <c r="J131"/>
  <c r="K131"/>
  <c r="J132"/>
  <c r="K132"/>
  <c r="D597" i="6" l="1"/>
  <c r="C597" s="1"/>
  <c r="D596"/>
  <c r="C596" s="1"/>
  <c r="L619" i="1"/>
  <c r="E618" i="6" s="1"/>
  <c r="L131" i="8"/>
  <c r="F626" i="6" s="1"/>
  <c r="L129" i="8"/>
  <c r="F623" i="6" s="1"/>
  <c r="L127" i="8"/>
  <c r="F616" i="6" s="1"/>
  <c r="L132" i="8"/>
  <c r="F627" i="6" s="1"/>
  <c r="L130" i="8"/>
  <c r="F624" i="6" s="1"/>
  <c r="L128" i="8"/>
  <c r="F618" i="6" s="1"/>
  <c r="J3" i="8"/>
  <c r="K3"/>
  <c r="J4"/>
  <c r="K4"/>
  <c r="J5"/>
  <c r="K5"/>
  <c r="J6"/>
  <c r="K6"/>
  <c r="J7"/>
  <c r="K7"/>
  <c r="J8"/>
  <c r="K8"/>
  <c r="J9"/>
  <c r="K9"/>
  <c r="J10"/>
  <c r="K10"/>
  <c r="J13"/>
  <c r="K13"/>
  <c r="J14"/>
  <c r="K14"/>
  <c r="J15"/>
  <c r="K15"/>
  <c r="J16"/>
  <c r="K16"/>
  <c r="J17"/>
  <c r="K17"/>
  <c r="J18"/>
  <c r="K18"/>
  <c r="J19"/>
  <c r="K19"/>
  <c r="J20"/>
  <c r="K20"/>
  <c r="J21"/>
  <c r="K21"/>
  <c r="J22"/>
  <c r="K22"/>
  <c r="J23"/>
  <c r="K23"/>
  <c r="J24"/>
  <c r="K24"/>
  <c r="J25"/>
  <c r="K25"/>
  <c r="J26"/>
  <c r="K26"/>
  <c r="J27"/>
  <c r="K27"/>
  <c r="J28"/>
  <c r="K28"/>
  <c r="J29"/>
  <c r="K29"/>
  <c r="J30"/>
  <c r="K30"/>
  <c r="J31"/>
  <c r="K31"/>
  <c r="J32"/>
  <c r="K32"/>
  <c r="J33"/>
  <c r="K33"/>
  <c r="J34"/>
  <c r="K34"/>
  <c r="J35"/>
  <c r="K35"/>
  <c r="J36"/>
  <c r="K36"/>
  <c r="J37"/>
  <c r="K37"/>
  <c r="J38"/>
  <c r="K38"/>
  <c r="J39"/>
  <c r="K39"/>
  <c r="J40"/>
  <c r="K40"/>
  <c r="J41"/>
  <c r="K41"/>
  <c r="J42"/>
  <c r="K42"/>
  <c r="J43"/>
  <c r="K43"/>
  <c r="J44"/>
  <c r="K44"/>
  <c r="J45"/>
  <c r="K45"/>
  <c r="J46"/>
  <c r="K46"/>
  <c r="J47"/>
  <c r="K47"/>
  <c r="J48"/>
  <c r="K48"/>
  <c r="J49"/>
  <c r="K49"/>
  <c r="J50"/>
  <c r="K50"/>
  <c r="J51"/>
  <c r="K51"/>
  <c r="J52"/>
  <c r="K52"/>
  <c r="J53"/>
  <c r="K53"/>
  <c r="J54"/>
  <c r="K54"/>
  <c r="J55"/>
  <c r="K55"/>
  <c r="J56"/>
  <c r="K56"/>
  <c r="J57"/>
  <c r="K57"/>
  <c r="J58"/>
  <c r="K58"/>
  <c r="J59"/>
  <c r="K59"/>
  <c r="J60"/>
  <c r="K60"/>
  <c r="J61"/>
  <c r="K61"/>
  <c r="J62"/>
  <c r="K62"/>
  <c r="J63"/>
  <c r="K63"/>
  <c r="J64"/>
  <c r="K64"/>
  <c r="J65"/>
  <c r="K65"/>
  <c r="J66"/>
  <c r="K66"/>
  <c r="J67"/>
  <c r="K67"/>
  <c r="J68"/>
  <c r="K68"/>
  <c r="J69"/>
  <c r="K69"/>
  <c r="J70"/>
  <c r="K70"/>
  <c r="J71"/>
  <c r="K71"/>
  <c r="J72"/>
  <c r="K72"/>
  <c r="J73"/>
  <c r="K73"/>
  <c r="J74"/>
  <c r="K74"/>
  <c r="J75"/>
  <c r="K75"/>
  <c r="J76"/>
  <c r="K76"/>
  <c r="J77"/>
  <c r="K77"/>
  <c r="J78"/>
  <c r="K78"/>
  <c r="J79"/>
  <c r="K79"/>
  <c r="J80"/>
  <c r="K80"/>
  <c r="J81"/>
  <c r="K81"/>
  <c r="J82"/>
  <c r="K82"/>
  <c r="J83"/>
  <c r="K83"/>
  <c r="J84"/>
  <c r="K84"/>
  <c r="J85"/>
  <c r="K85"/>
  <c r="J86"/>
  <c r="K86"/>
  <c r="J87"/>
  <c r="K87"/>
  <c r="J88"/>
  <c r="K88"/>
  <c r="J89"/>
  <c r="K89"/>
  <c r="J90"/>
  <c r="K90"/>
  <c r="J91"/>
  <c r="K91"/>
  <c r="J92"/>
  <c r="K92"/>
  <c r="J93"/>
  <c r="K93"/>
  <c r="J94"/>
  <c r="K94"/>
  <c r="J95"/>
  <c r="K95"/>
  <c r="J96"/>
  <c r="K96"/>
  <c r="J97"/>
  <c r="K97"/>
  <c r="J98"/>
  <c r="K98"/>
  <c r="J99"/>
  <c r="K99"/>
  <c r="J100"/>
  <c r="K100"/>
  <c r="J101"/>
  <c r="K101"/>
  <c r="J102"/>
  <c r="K102"/>
  <c r="J103"/>
  <c r="K103"/>
  <c r="J104"/>
  <c r="K104"/>
  <c r="J105"/>
  <c r="K105"/>
  <c r="J106"/>
  <c r="K106"/>
  <c r="J107"/>
  <c r="K107"/>
  <c r="J108"/>
  <c r="K108"/>
  <c r="J109"/>
  <c r="K109"/>
  <c r="J110"/>
  <c r="K110"/>
  <c r="J111"/>
  <c r="K111"/>
  <c r="J114"/>
  <c r="K114"/>
  <c r="J115"/>
  <c r="K115"/>
  <c r="J116"/>
  <c r="K116"/>
  <c r="J117"/>
  <c r="K117"/>
  <c r="J118"/>
  <c r="K118"/>
  <c r="J119"/>
  <c r="K119"/>
  <c r="J120"/>
  <c r="K120"/>
  <c r="J121"/>
  <c r="K121"/>
  <c r="J122"/>
  <c r="K122"/>
  <c r="J123"/>
  <c r="K123"/>
  <c r="J124"/>
  <c r="K124"/>
  <c r="J125"/>
  <c r="K125"/>
  <c r="J126"/>
  <c r="K126"/>
  <c r="K2"/>
  <c r="J2"/>
  <c r="D618" i="6" l="1"/>
  <c r="C618" s="1"/>
  <c r="L31" i="8"/>
  <c r="F138" i="6" s="1"/>
  <c r="L72" i="8"/>
  <c r="F283" i="6" s="1"/>
  <c r="L64" i="8"/>
  <c r="F223" i="6" s="1"/>
  <c r="L60" i="8"/>
  <c r="F218" i="6" s="1"/>
  <c r="L56" i="8"/>
  <c r="F214" i="6" s="1"/>
  <c r="L48" i="8"/>
  <c r="F198" i="6" s="1"/>
  <c r="L44" i="8"/>
  <c r="F174" i="6" s="1"/>
  <c r="L107" i="8"/>
  <c r="F533" i="6" s="1"/>
  <c r="L43" i="8"/>
  <c r="F169" i="6" s="1"/>
  <c r="L95" i="8"/>
  <c r="L59"/>
  <c r="F217" i="6" s="1"/>
  <c r="L47" i="8"/>
  <c r="F190" i="6" s="1"/>
  <c r="L40" i="8"/>
  <c r="F166" i="6" s="1"/>
  <c r="L32" i="8"/>
  <c r="F143" i="6" s="1"/>
  <c r="L28" i="8"/>
  <c r="F120" i="6" s="1"/>
  <c r="L6" i="8"/>
  <c r="F40" i="6" s="1"/>
  <c r="L86" i="8"/>
  <c r="F313" i="6" s="1"/>
  <c r="L91" i="8"/>
  <c r="F327" i="6" s="1"/>
  <c r="L89" i="8"/>
  <c r="F319" i="6" s="1"/>
  <c r="L87" i="8"/>
  <c r="F315" i="6" s="1"/>
  <c r="L85" i="8"/>
  <c r="F311" i="6" s="1"/>
  <c r="L83" i="8"/>
  <c r="F307" i="6" s="1"/>
  <c r="L81" i="8"/>
  <c r="F301" i="6" s="1"/>
  <c r="L75" i="8"/>
  <c r="F286" i="6" s="1"/>
  <c r="L73" i="8"/>
  <c r="F284" i="6" s="1"/>
  <c r="L71" i="8"/>
  <c r="F279" i="6" s="1"/>
  <c r="L69" i="8"/>
  <c r="L67"/>
  <c r="F256" i="6" s="1"/>
  <c r="L65" i="8"/>
  <c r="F225" i="6" s="1"/>
  <c r="L125" i="8"/>
  <c r="F614" i="6" s="1"/>
  <c r="L111" i="8"/>
  <c r="F587" i="6" s="1"/>
  <c r="L104" i="8"/>
  <c r="F475" i="6" s="1"/>
  <c r="L96" i="8"/>
  <c r="L92"/>
  <c r="L22"/>
  <c r="F104" i="6" s="1"/>
  <c r="L4" i="8"/>
  <c r="F38" i="6" s="1"/>
  <c r="L126" i="8"/>
  <c r="F615" i="6" s="1"/>
  <c r="L122" i="8"/>
  <c r="F611" i="6" s="1"/>
  <c r="L114" i="8"/>
  <c r="F599" i="6" s="1"/>
  <c r="L108" i="8"/>
  <c r="F534" i="6" s="1"/>
  <c r="L27" i="8"/>
  <c r="F115" i="6" s="1"/>
  <c r="L25" i="8"/>
  <c r="F111" i="6" s="1"/>
  <c r="L23" i="8"/>
  <c r="F107" i="6" s="1"/>
  <c r="L21" i="8"/>
  <c r="F101" i="6" s="1"/>
  <c r="L19" i="8"/>
  <c r="F95" i="6" s="1"/>
  <c r="L17" i="8"/>
  <c r="F93" i="6" s="1"/>
  <c r="L9" i="8"/>
  <c r="F44" i="6" s="1"/>
  <c r="L7" i="8"/>
  <c r="F42" i="6" s="1"/>
  <c r="L5" i="8"/>
  <c r="F39" i="6" s="1"/>
  <c r="L3" i="8"/>
  <c r="F37" i="6" s="1"/>
  <c r="L102" i="8"/>
  <c r="F446" i="6" s="1"/>
  <c r="L63" i="8"/>
  <c r="F221" i="6" s="1"/>
  <c r="L38" i="8"/>
  <c r="F163" i="6" s="1"/>
  <c r="L120" i="8"/>
  <c r="F607" i="6" s="1"/>
  <c r="L105" i="8"/>
  <c r="F476" i="6" s="1"/>
  <c r="L103" i="8"/>
  <c r="F447" i="6" s="1"/>
  <c r="L101" i="8"/>
  <c r="F443" i="6" s="1"/>
  <c r="L99" i="8"/>
  <c r="F440" i="6" s="1"/>
  <c r="L97" i="8"/>
  <c r="F433" i="6" s="1"/>
  <c r="L79" i="8"/>
  <c r="F295" i="6" s="1"/>
  <c r="L54" i="8"/>
  <c r="F212" i="6" s="1"/>
  <c r="L41" i="8"/>
  <c r="F167" i="6" s="1"/>
  <c r="L39" i="8"/>
  <c r="F165" i="6" s="1"/>
  <c r="L37" i="8"/>
  <c r="F160" i="6" s="1"/>
  <c r="L35" i="8"/>
  <c r="F153" i="6" s="1"/>
  <c r="L33" i="8"/>
  <c r="F144" i="6" s="1"/>
  <c r="L15" i="8"/>
  <c r="F76" i="6" s="1"/>
  <c r="L2" i="8"/>
  <c r="F25" i="6" s="1"/>
  <c r="L123" i="8"/>
  <c r="F612" i="6" s="1"/>
  <c r="L121" i="8"/>
  <c r="F608" i="6" s="1"/>
  <c r="L119" i="8"/>
  <c r="F604" i="6" s="1"/>
  <c r="L117" i="8"/>
  <c r="F602" i="6" s="1"/>
  <c r="L115" i="8"/>
  <c r="F600" i="6" s="1"/>
  <c r="L88" i="8"/>
  <c r="F317" i="6" s="1"/>
  <c r="L80" i="8"/>
  <c r="F296" i="6" s="1"/>
  <c r="L76" i="8"/>
  <c r="F287" i="6" s="1"/>
  <c r="L70" i="8"/>
  <c r="F278" i="6" s="1"/>
  <c r="L57" i="8"/>
  <c r="F215" i="6" s="1"/>
  <c r="L55" i="8"/>
  <c r="F213" i="6" s="1"/>
  <c r="L53" i="8"/>
  <c r="F211" i="6" s="1"/>
  <c r="L51" i="8"/>
  <c r="F209" i="6" s="1"/>
  <c r="L49" i="8"/>
  <c r="F207" i="6" s="1"/>
  <c r="L24" i="8"/>
  <c r="F109" i="6" s="1"/>
  <c r="L16" i="8"/>
  <c r="F85" i="6" s="1"/>
  <c r="L10" i="8"/>
  <c r="F45" i="6" s="1"/>
  <c r="L90" i="8"/>
  <c r="F323" i="6" s="1"/>
  <c r="L124" i="8"/>
  <c r="F613" i="6" s="1"/>
  <c r="L106" i="8"/>
  <c r="F532" i="6" s="1"/>
  <c r="L74" i="8"/>
  <c r="F285" i="6" s="1"/>
  <c r="L58" i="8"/>
  <c r="F216" i="6" s="1"/>
  <c r="L42" i="8"/>
  <c r="F168" i="6" s="1"/>
  <c r="L26" i="8"/>
  <c r="F114" i="6" s="1"/>
  <c r="L8" i="8"/>
  <c r="F43" i="6" s="1"/>
  <c r="L110" i="8"/>
  <c r="F586" i="6" s="1"/>
  <c r="L94" i="8"/>
  <c r="F402" i="6" s="1"/>
  <c r="L78" i="8"/>
  <c r="F289" i="6" s="1"/>
  <c r="L62" i="8"/>
  <c r="F220" i="6" s="1"/>
  <c r="L46" i="8"/>
  <c r="F189" i="6" s="1"/>
  <c r="L30" i="8"/>
  <c r="F130" i="6" s="1"/>
  <c r="L14" i="8"/>
  <c r="F60" i="6" s="1"/>
  <c r="L118" i="8"/>
  <c r="F603" i="6" s="1"/>
  <c r="L116" i="8"/>
  <c r="F601" i="6" s="1"/>
  <c r="L109" i="8"/>
  <c r="F535" i="6" s="1"/>
  <c r="L100" i="8"/>
  <c r="F441" i="6" s="1"/>
  <c r="L98" i="8"/>
  <c r="F434" i="6" s="1"/>
  <c r="L93" i="8"/>
  <c r="F387" i="6" s="1"/>
  <c r="L84" i="8"/>
  <c r="F308" i="6" s="1"/>
  <c r="L82" i="8"/>
  <c r="F302" i="6" s="1"/>
  <c r="L77" i="8"/>
  <c r="F288" i="6" s="1"/>
  <c r="L68" i="8"/>
  <c r="L66"/>
  <c r="F245" i="6" s="1"/>
  <c r="L61" i="8"/>
  <c r="F219" i="6" s="1"/>
  <c r="L52" i="8"/>
  <c r="F210" i="6" s="1"/>
  <c r="L50" i="8"/>
  <c r="F208" i="6" s="1"/>
  <c r="L45" i="8"/>
  <c r="F175" i="6" s="1"/>
  <c r="L36" i="8"/>
  <c r="F154" i="6" s="1"/>
  <c r="L34" i="8"/>
  <c r="F146" i="6" s="1"/>
  <c r="L29" i="8"/>
  <c r="F127" i="6" s="1"/>
  <c r="L20" i="8"/>
  <c r="L18"/>
  <c r="F94" i="6" s="1"/>
  <c r="L13" i="8"/>
  <c r="F59" i="6" s="1"/>
  <c r="J4" i="1"/>
  <c r="K4"/>
  <c r="L4" l="1"/>
  <c r="E7" i="6" s="1"/>
  <c r="D7" s="1"/>
  <c r="C7" s="1"/>
  <c r="K611" i="1" l="1"/>
  <c r="K612"/>
  <c r="K613"/>
  <c r="K614"/>
  <c r="K615"/>
  <c r="K616"/>
  <c r="K617"/>
  <c r="K618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09" l="1"/>
  <c r="K610"/>
  <c r="K418"/>
  <c r="K419"/>
  <c r="K420"/>
  <c r="K421"/>
  <c r="K61"/>
  <c r="K373"/>
  <c r="K554"/>
  <c r="K99"/>
  <c r="K6"/>
  <c r="K87"/>
  <c r="K430"/>
  <c r="K431"/>
  <c r="K530"/>
  <c r="K198"/>
  <c r="K97"/>
  <c r="K27"/>
  <c r="K28"/>
  <c r="K29"/>
  <c r="K30"/>
  <c r="K31"/>
  <c r="K32"/>
  <c r="K33"/>
  <c r="K34"/>
  <c r="K35"/>
  <c r="K36"/>
  <c r="K37"/>
  <c r="K38"/>
  <c r="K39"/>
  <c r="K40"/>
  <c r="K45"/>
  <c r="K46"/>
  <c r="K47"/>
  <c r="L47" s="1"/>
  <c r="E51" i="6" s="1"/>
  <c r="D51" s="1"/>
  <c r="C51" s="1"/>
  <c r="K48" i="1"/>
  <c r="K49"/>
  <c r="K50"/>
  <c r="K51"/>
  <c r="K52"/>
  <c r="K53"/>
  <c r="K54"/>
  <c r="K55"/>
  <c r="K56"/>
  <c r="K57"/>
  <c r="K58"/>
  <c r="K59"/>
  <c r="K60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8"/>
  <c r="K89"/>
  <c r="K90"/>
  <c r="K91"/>
  <c r="K92"/>
  <c r="K93"/>
  <c r="K94"/>
  <c r="K95"/>
  <c r="K96"/>
  <c r="K98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L139" s="1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22"/>
  <c r="K423"/>
  <c r="K424"/>
  <c r="K425"/>
  <c r="K426"/>
  <c r="K427"/>
  <c r="K428"/>
  <c r="K429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7"/>
  <c r="K12"/>
  <c r="K19"/>
  <c r="K43"/>
  <c r="K44"/>
  <c r="K593"/>
  <c r="K594"/>
  <c r="K595"/>
  <c r="K596"/>
  <c r="K600"/>
  <c r="K601"/>
  <c r="K603"/>
  <c r="K604"/>
  <c r="K605"/>
  <c r="K606"/>
  <c r="K607"/>
  <c r="K608"/>
  <c r="K3"/>
  <c r="K5"/>
  <c r="K8"/>
  <c r="K9"/>
  <c r="K10"/>
  <c r="K11"/>
  <c r="K13"/>
  <c r="K14"/>
  <c r="K15"/>
  <c r="K16"/>
  <c r="K17"/>
  <c r="K18"/>
  <c r="K20"/>
  <c r="K21"/>
  <c r="K22"/>
  <c r="K23"/>
  <c r="K24"/>
  <c r="K25"/>
  <c r="K26"/>
  <c r="K2"/>
  <c r="E141" i="6" l="1"/>
  <c r="D141" s="1"/>
  <c r="B93" i="5" l="1"/>
  <c r="J638" i="1"/>
  <c r="L638" s="1"/>
  <c r="E637" i="6" s="1"/>
  <c r="D637" s="1"/>
  <c r="C637" s="1"/>
  <c r="J633" i="1"/>
  <c r="L633" s="1"/>
  <c r="E632" i="6" s="1"/>
  <c r="D632" s="1"/>
  <c r="C632" s="1"/>
  <c r="J250" i="1"/>
  <c r="L250" s="1"/>
  <c r="E251" i="6" s="1"/>
  <c r="D251" s="1"/>
  <c r="B423" i="5" s="1"/>
  <c r="J198" i="1"/>
  <c r="L198" s="1"/>
  <c r="E199" i="6" s="1"/>
  <c r="D199" s="1"/>
  <c r="B155" i="5" s="1"/>
  <c r="J78" i="1"/>
  <c r="L78" s="1"/>
  <c r="E82" i="6" s="1"/>
  <c r="D82" s="1"/>
  <c r="B32" i="5" s="1"/>
  <c r="J144" i="1"/>
  <c r="L144" s="1"/>
  <c r="E146" i="6" s="1"/>
  <c r="D146" s="1"/>
  <c r="B98" i="5" s="1"/>
  <c r="J209" i="1"/>
  <c r="L209" s="1"/>
  <c r="E210" i="6" s="1"/>
  <c r="D210" s="1"/>
  <c r="C210" s="1"/>
  <c r="J338" i="1"/>
  <c r="L338" s="1"/>
  <c r="E337" i="6" s="1"/>
  <c r="D337" s="1"/>
  <c r="B205" i="5" s="1"/>
  <c r="J402" i="1"/>
  <c r="L402" s="1"/>
  <c r="E401" i="6" s="1"/>
  <c r="D401" s="1"/>
  <c r="B286" i="5" s="1"/>
  <c r="J471" i="1"/>
  <c r="L471" s="1"/>
  <c r="E470" i="6" s="1"/>
  <c r="D470" s="1"/>
  <c r="C470" s="1"/>
  <c r="J534" i="1"/>
  <c r="L534" s="1"/>
  <c r="E533" i="6" s="1"/>
  <c r="D533" s="1"/>
  <c r="C533" s="1"/>
  <c r="J593" i="1"/>
  <c r="L593" s="1"/>
  <c r="E592" i="6" s="1"/>
  <c r="D592" s="1"/>
  <c r="C592" s="1"/>
  <c r="J335" i="1"/>
  <c r="L335" s="1"/>
  <c r="E334" i="6" s="1"/>
  <c r="D334" s="1"/>
  <c r="B202" i="5" s="1"/>
  <c r="J587" i="1"/>
  <c r="L587" s="1"/>
  <c r="E586" i="6" s="1"/>
  <c r="D586" s="1"/>
  <c r="C586" s="1"/>
  <c r="J281" i="1"/>
  <c r="L281" s="1"/>
  <c r="E282" i="6" s="1"/>
  <c r="D282" s="1"/>
  <c r="B374" i="5" s="1"/>
  <c r="J46" i="1"/>
  <c r="L46" s="1"/>
  <c r="E50" i="6" s="1"/>
  <c r="D50" s="1"/>
  <c r="C50" s="1"/>
  <c r="J114" i="1"/>
  <c r="L114" s="1"/>
  <c r="E118" i="6" s="1"/>
  <c r="D118" s="1"/>
  <c r="B73" i="5" s="1"/>
  <c r="J179" i="1"/>
  <c r="L179" s="1"/>
  <c r="E180" i="6" s="1"/>
  <c r="D180" s="1"/>
  <c r="B151" i="5" s="1"/>
  <c r="J312" i="1"/>
  <c r="L312" s="1"/>
  <c r="E313" i="6" s="1"/>
  <c r="D313" s="1"/>
  <c r="B178" i="5" s="1"/>
  <c r="J372" i="1"/>
  <c r="L372" s="1"/>
  <c r="E371" i="6" s="1"/>
  <c r="D371" s="1"/>
  <c r="B254" i="5" s="1"/>
  <c r="J442" i="1"/>
  <c r="L442" s="1"/>
  <c r="E441" i="6" s="1"/>
  <c r="D441" s="1"/>
  <c r="B317" i="5" s="1"/>
  <c r="J506" i="1"/>
  <c r="L506" s="1"/>
  <c r="E505" i="6" s="1"/>
  <c r="D505" s="1"/>
  <c r="C505" s="1"/>
  <c r="J570" i="1"/>
  <c r="L570" s="1"/>
  <c r="E569" i="6" s="1"/>
  <c r="D569" s="1"/>
  <c r="C569" s="1"/>
  <c r="J412" i="1"/>
  <c r="L412" s="1"/>
  <c r="E411" i="6" s="1"/>
  <c r="D411" s="1"/>
  <c r="B296" i="5" s="1"/>
  <c r="J532" i="1"/>
  <c r="L532" s="1"/>
  <c r="E531" i="6" s="1"/>
  <c r="D531" s="1"/>
  <c r="C531" s="1"/>
  <c r="J271" i="1"/>
  <c r="L271" s="1"/>
  <c r="J67"/>
  <c r="L67" s="1"/>
  <c r="E71" i="6" s="1"/>
  <c r="D71" s="1"/>
  <c r="C71" s="1"/>
  <c r="J375" i="1"/>
  <c r="L375" s="1"/>
  <c r="E374" i="6" s="1"/>
  <c r="D374" s="1"/>
  <c r="B257" i="5" s="1"/>
  <c r="J61" i="1"/>
  <c r="L61" s="1"/>
  <c r="E65" i="6" s="1"/>
  <c r="D65" s="1"/>
  <c r="C65" s="1"/>
  <c r="J284" i="1"/>
  <c r="L284" s="1"/>
  <c r="E285" i="6" s="1"/>
  <c r="D285" s="1"/>
  <c r="B377" i="5" s="1"/>
  <c r="J50" i="1"/>
  <c r="L50" s="1"/>
  <c r="E54" i="6" s="1"/>
  <c r="D54" s="1"/>
  <c r="C54" s="1"/>
  <c r="J117" i="1"/>
  <c r="L117" s="1"/>
  <c r="E121" i="6" s="1"/>
  <c r="D121" s="1"/>
  <c r="B79" i="5" s="1"/>
  <c r="J182" i="1"/>
  <c r="L182" s="1"/>
  <c r="E183" i="6" s="1"/>
  <c r="D183" s="1"/>
  <c r="B130" i="5" s="1"/>
  <c r="J313" i="1"/>
  <c r="L313" s="1"/>
  <c r="E314" i="6" s="1"/>
  <c r="D314" s="1"/>
  <c r="B179" i="5" s="1"/>
  <c r="J376" i="1"/>
  <c r="L376" s="1"/>
  <c r="E375" i="6" s="1"/>
  <c r="D375" s="1"/>
  <c r="B258" i="5" s="1"/>
  <c r="J267" i="1"/>
  <c r="L267" s="1"/>
  <c r="E268" i="6" s="1"/>
  <c r="D268" s="1"/>
  <c r="B360" i="5" s="1"/>
  <c r="J564" i="1"/>
  <c r="L564" s="1"/>
  <c r="E563" i="6" s="1"/>
  <c r="D563" s="1"/>
  <c r="C563" s="1"/>
  <c r="J339" i="1"/>
  <c r="L339" s="1"/>
  <c r="E338" i="6" s="1"/>
  <c r="D338" s="1"/>
  <c r="B209" i="5" s="1"/>
  <c r="J591" i="1"/>
  <c r="L591" s="1"/>
  <c r="E590" i="6" s="1"/>
  <c r="D590" s="1"/>
  <c r="C590" s="1"/>
  <c r="J636" i="1"/>
  <c r="L636" s="1"/>
  <c r="E635" i="6" s="1"/>
  <c r="D635" s="1"/>
  <c r="C635" s="1"/>
  <c r="J631" i="1"/>
  <c r="L631" s="1"/>
  <c r="E630" i="6" s="1"/>
  <c r="D630" s="1"/>
  <c r="C630" s="1"/>
  <c r="J246" i="1"/>
  <c r="L246" s="1"/>
  <c r="E247" i="6" s="1"/>
  <c r="D247" s="1"/>
  <c r="B419" i="5" s="1"/>
  <c r="J430" i="1"/>
  <c r="L430" s="1"/>
  <c r="E429" i="6" s="1"/>
  <c r="D429" s="1"/>
  <c r="C429" s="1"/>
  <c r="J74" i="1"/>
  <c r="L74" s="1"/>
  <c r="E78" i="6" s="1"/>
  <c r="D78" s="1"/>
  <c r="B8" i="5" s="1"/>
  <c r="J140" i="1"/>
  <c r="L140" s="1"/>
  <c r="E142" i="6" s="1"/>
  <c r="D142" s="1"/>
  <c r="B94" i="5" s="1"/>
  <c r="J205" i="1"/>
  <c r="L205" s="1"/>
  <c r="E206" i="6" s="1"/>
  <c r="D206" s="1"/>
  <c r="C206" s="1"/>
  <c r="J334" i="1"/>
  <c r="L334" s="1"/>
  <c r="J398"/>
  <c r="L398" s="1"/>
  <c r="E397" i="6" s="1"/>
  <c r="D397" s="1"/>
  <c r="B282" i="5" s="1"/>
  <c r="J467" i="1"/>
  <c r="L467" s="1"/>
  <c r="E466" i="6" s="1"/>
  <c r="D466" s="1"/>
  <c r="C466" s="1"/>
  <c r="J529" i="1"/>
  <c r="L529" s="1"/>
  <c r="E528" i="6" s="1"/>
  <c r="D528" s="1"/>
  <c r="C528" s="1"/>
  <c r="J12" i="1"/>
  <c r="L12" s="1"/>
  <c r="E15" i="6" s="1"/>
  <c r="D15" s="1"/>
  <c r="C15" s="1"/>
  <c r="J319" i="1"/>
  <c r="L319" s="1"/>
  <c r="E320" i="6" s="1"/>
  <c r="D320" s="1"/>
  <c r="B188" i="5" s="1"/>
  <c r="J572" i="1"/>
  <c r="L572" s="1"/>
  <c r="E571" i="6" s="1"/>
  <c r="D571" s="1"/>
  <c r="C571" s="1"/>
  <c r="J277" i="1"/>
  <c r="L277" s="1"/>
  <c r="E278" i="6" s="1"/>
  <c r="D278" s="1"/>
  <c r="B370" i="5" s="1"/>
  <c r="J38" i="1"/>
  <c r="L38" s="1"/>
  <c r="E43" i="6" s="1"/>
  <c r="D43" s="1"/>
  <c r="C43" s="1"/>
  <c r="J175" i="1"/>
  <c r="L175" s="1"/>
  <c r="E176" i="6" s="1"/>
  <c r="D176" s="1"/>
  <c r="B126" i="5" s="1"/>
  <c r="J368" i="1"/>
  <c r="L368" s="1"/>
  <c r="E367" i="6" s="1"/>
  <c r="D367" s="1"/>
  <c r="B253" i="5" s="1"/>
  <c r="J438" i="1"/>
  <c r="L438" s="1"/>
  <c r="E437" i="6" s="1"/>
  <c r="D437" s="1"/>
  <c r="B320" i="5" s="1"/>
  <c r="J502" i="1"/>
  <c r="L502" s="1"/>
  <c r="E501" i="6" s="1"/>
  <c r="D501" s="1"/>
  <c r="C501" s="1"/>
  <c r="J566" i="1"/>
  <c r="L566" s="1"/>
  <c r="E565" i="6" s="1"/>
  <c r="D565" s="1"/>
  <c r="C565" s="1"/>
  <c r="J404" i="1"/>
  <c r="L404" s="1"/>
  <c r="J523"/>
  <c r="L523" s="1"/>
  <c r="E522" i="6" s="1"/>
  <c r="D522" s="1"/>
  <c r="C522" s="1"/>
  <c r="J263" i="1"/>
  <c r="L263" s="1"/>
  <c r="J63"/>
  <c r="L63" s="1"/>
  <c r="E67" i="6" s="1"/>
  <c r="D67" s="1"/>
  <c r="C67" s="1"/>
  <c r="J362" i="1"/>
  <c r="L362" s="1"/>
  <c r="E361" i="6" s="1"/>
  <c r="D361" s="1"/>
  <c r="B241" i="5" s="1"/>
  <c r="J420" i="1"/>
  <c r="L420" s="1"/>
  <c r="E419" i="6" s="1"/>
  <c r="D419" s="1"/>
  <c r="C419" s="1"/>
  <c r="J280" i="1"/>
  <c r="L280" s="1"/>
  <c r="E281" i="6" s="1"/>
  <c r="D281" s="1"/>
  <c r="B373" i="5" s="1"/>
  <c r="J45" i="1"/>
  <c r="L45" s="1"/>
  <c r="J113"/>
  <c r="L113" s="1"/>
  <c r="E117" i="6" s="1"/>
  <c r="D117" s="1"/>
  <c r="B72" i="5" s="1"/>
  <c r="J178" i="1"/>
  <c r="L178" s="1"/>
  <c r="E179" i="6" s="1"/>
  <c r="D179" s="1"/>
  <c r="B150" i="5" s="1"/>
  <c r="J311" i="1"/>
  <c r="L311" s="1"/>
  <c r="E312" i="6" s="1"/>
  <c r="D312" s="1"/>
  <c r="B177" i="5" s="1"/>
  <c r="J371" i="1"/>
  <c r="L371" s="1"/>
  <c r="E370" i="6" s="1"/>
  <c r="D370" s="1"/>
  <c r="B252" i="5" s="1"/>
  <c r="J509" i="1"/>
  <c r="L509" s="1"/>
  <c r="E508" i="6" s="1"/>
  <c r="D508" s="1"/>
  <c r="C508" s="1"/>
  <c r="J259" i="1"/>
  <c r="L259" s="1"/>
  <c r="E260" i="6" s="1"/>
  <c r="D260" s="1"/>
  <c r="B432" i="5" s="1"/>
  <c r="J218" i="1"/>
  <c r="L218" s="1"/>
  <c r="E219" i="6" s="1"/>
  <c r="D219" s="1"/>
  <c r="C219" s="1"/>
  <c r="J547" i="1"/>
  <c r="L547" s="1"/>
  <c r="E546" i="6" s="1"/>
  <c r="D546" s="1"/>
  <c r="C546" s="1"/>
  <c r="J323" i="1"/>
  <c r="L323" s="1"/>
  <c r="E324" i="6" s="1"/>
  <c r="D324" s="1"/>
  <c r="B195" i="5" s="1"/>
  <c r="J576" i="1"/>
  <c r="L576" s="1"/>
  <c r="E575" i="6" s="1"/>
  <c r="D575" s="1"/>
  <c r="C575" s="1"/>
  <c r="J634" i="1"/>
  <c r="L634" s="1"/>
  <c r="E633" i="6" s="1"/>
  <c r="D633" s="1"/>
  <c r="C633" s="1"/>
  <c r="J629" i="1"/>
  <c r="L629" s="1"/>
  <c r="E628" i="6" s="1"/>
  <c r="D628" s="1"/>
  <c r="C628" s="1"/>
  <c r="J242" i="1"/>
  <c r="L242" s="1"/>
  <c r="E243" i="6" s="1"/>
  <c r="D243" s="1"/>
  <c r="B415" i="5" s="1"/>
  <c r="J306" i="1"/>
  <c r="L306" s="1"/>
  <c r="E307" i="6" s="1"/>
  <c r="D307" s="1"/>
  <c r="B399" i="5" s="1"/>
  <c r="J70" i="1"/>
  <c r="L70" s="1"/>
  <c r="E74" i="6" s="1"/>
  <c r="D74" s="1"/>
  <c r="C74" s="1"/>
  <c r="J135" i="1"/>
  <c r="L135" s="1"/>
  <c r="E137" i="6" s="1"/>
  <c r="D137" s="1"/>
  <c r="B24" i="5" s="1"/>
  <c r="J201" i="1"/>
  <c r="L201" s="1"/>
  <c r="E202" i="6" s="1"/>
  <c r="D202" s="1"/>
  <c r="B158" i="5" s="1"/>
  <c r="J330" i="1"/>
  <c r="L330" s="1"/>
  <c r="E330" i="6" s="1"/>
  <c r="D330" s="1"/>
  <c r="C330" s="1"/>
  <c r="J394" i="1"/>
  <c r="L394" s="1"/>
  <c r="E393" i="6" s="1"/>
  <c r="D393" s="1"/>
  <c r="B275" i="5" s="1"/>
  <c r="J463" i="1"/>
  <c r="L463" s="1"/>
  <c r="E462" i="6" s="1"/>
  <c r="D462" s="1"/>
  <c r="B347" i="5" s="1"/>
  <c r="J525" i="1"/>
  <c r="L525" s="1"/>
  <c r="E524" i="6" s="1"/>
  <c r="D524" s="1"/>
  <c r="C524" s="1"/>
  <c r="J590" i="1"/>
  <c r="L590" s="1"/>
  <c r="E589" i="6" s="1"/>
  <c r="D589" s="1"/>
  <c r="C589" s="1"/>
  <c r="J308" i="1"/>
  <c r="L308" s="1"/>
  <c r="E309" i="6" s="1"/>
  <c r="D309" s="1"/>
  <c r="C309" s="1"/>
  <c r="J556" i="1"/>
  <c r="L556" s="1"/>
  <c r="E555" i="6" s="1"/>
  <c r="D555" s="1"/>
  <c r="C555" s="1"/>
  <c r="J273" i="1"/>
  <c r="L273" s="1"/>
  <c r="E274" i="6" s="1"/>
  <c r="D274" s="1"/>
  <c r="B366" i="5" s="1"/>
  <c r="J34" i="1"/>
  <c r="L34" s="1"/>
  <c r="E39" i="6" s="1"/>
  <c r="D39" s="1"/>
  <c r="C39" s="1"/>
  <c r="J108" i="1"/>
  <c r="L108" s="1"/>
  <c r="E112" i="6" s="1"/>
  <c r="D112" s="1"/>
  <c r="C112" s="1"/>
  <c r="J171" i="1"/>
  <c r="L171" s="1"/>
  <c r="E172" i="6" s="1"/>
  <c r="D172" s="1"/>
  <c r="B122" i="5" s="1"/>
  <c r="J364" i="1"/>
  <c r="L364" s="1"/>
  <c r="E363" i="6" s="1"/>
  <c r="D363" s="1"/>
  <c r="B243" i="5" s="1"/>
  <c r="J434" i="1"/>
  <c r="L434" s="1"/>
  <c r="E433" i="6" s="1"/>
  <c r="D433" s="1"/>
  <c r="B313" i="5" s="1"/>
  <c r="J498" i="1"/>
  <c r="L498" s="1"/>
  <c r="E497" i="6" s="1"/>
  <c r="D497" s="1"/>
  <c r="C497" s="1"/>
  <c r="J562" i="1"/>
  <c r="L562" s="1"/>
  <c r="E561" i="6" s="1"/>
  <c r="D561" s="1"/>
  <c r="C561" s="1"/>
  <c r="J400" i="1"/>
  <c r="L400" s="1"/>
  <c r="E399" i="6" s="1"/>
  <c r="D399" s="1"/>
  <c r="B284" i="5" s="1"/>
  <c r="J517" i="1"/>
  <c r="L517" s="1"/>
  <c r="E516" i="6" s="1"/>
  <c r="D516" s="1"/>
  <c r="C516" s="1"/>
  <c r="J255" i="1"/>
  <c r="L255" s="1"/>
  <c r="E256" i="6" s="1"/>
  <c r="D256" s="1"/>
  <c r="B428" i="5" s="1"/>
  <c r="J53" i="1"/>
  <c r="L53" s="1"/>
  <c r="E57" i="6" s="1"/>
  <c r="D57" s="1"/>
  <c r="C57" s="1"/>
  <c r="J347" i="1"/>
  <c r="L347" s="1"/>
  <c r="E346" i="6" s="1"/>
  <c r="D346" s="1"/>
  <c r="B223" i="5" s="1"/>
  <c r="J418" i="1"/>
  <c r="L418" s="1"/>
  <c r="E417" i="6" s="1"/>
  <c r="D417" s="1"/>
  <c r="C417" s="1"/>
  <c r="J276" i="1"/>
  <c r="L276" s="1"/>
  <c r="E277" i="6" s="1"/>
  <c r="D277" s="1"/>
  <c r="B369" i="5" s="1"/>
  <c r="J37" i="1"/>
  <c r="L37" s="1"/>
  <c r="E42" i="6" s="1"/>
  <c r="D42" s="1"/>
  <c r="C42" s="1"/>
  <c r="J111" i="1"/>
  <c r="L111" s="1"/>
  <c r="E115" i="6" s="1"/>
  <c r="D115" s="1"/>
  <c r="B65" i="5" s="1"/>
  <c r="J174" i="1"/>
  <c r="L174" s="1"/>
  <c r="E175" i="6" s="1"/>
  <c r="D175" s="1"/>
  <c r="B125" i="5" s="1"/>
  <c r="J309" i="1"/>
  <c r="L309" s="1"/>
  <c r="E310" i="6" s="1"/>
  <c r="D310" s="1"/>
  <c r="C310" s="1"/>
  <c r="J367" i="1"/>
  <c r="L367" s="1"/>
  <c r="E366" i="6" s="1"/>
  <c r="D366" s="1"/>
  <c r="B249" i="5" s="1"/>
  <c r="J501" i="1"/>
  <c r="L501" s="1"/>
  <c r="E500" i="6" s="1"/>
  <c r="D500" s="1"/>
  <c r="C500" s="1"/>
  <c r="J251" i="1"/>
  <c r="L251" s="1"/>
  <c r="E252" i="6" s="1"/>
  <c r="D252" s="1"/>
  <c r="B424" i="5" s="1"/>
  <c r="J197" i="1"/>
  <c r="L197" s="1"/>
  <c r="E198" i="6" s="1"/>
  <c r="D198" s="1"/>
  <c r="B154" i="5" s="1"/>
  <c r="J531" i="1"/>
  <c r="L531" s="1"/>
  <c r="E530" i="6" s="1"/>
  <c r="D530" s="1"/>
  <c r="C530" s="1"/>
  <c r="J560" i="1"/>
  <c r="L560" s="1"/>
  <c r="E559" i="6" s="1"/>
  <c r="D559" s="1"/>
  <c r="C559" s="1"/>
  <c r="J632" i="1"/>
  <c r="L632" s="1"/>
  <c r="E631" i="6" s="1"/>
  <c r="D631" s="1"/>
  <c r="C631" s="1"/>
  <c r="J238" i="1"/>
  <c r="L238" s="1"/>
  <c r="E239" i="6" s="1"/>
  <c r="D239" s="1"/>
  <c r="B411" i="5" s="1"/>
  <c r="J302" i="1"/>
  <c r="L302" s="1"/>
  <c r="E303" i="6" s="1"/>
  <c r="D303" s="1"/>
  <c r="B395" i="5" s="1"/>
  <c r="J66" i="1"/>
  <c r="L66" s="1"/>
  <c r="E70" i="6" s="1"/>
  <c r="D70" s="1"/>
  <c r="C70" s="1"/>
  <c r="J131" i="1"/>
  <c r="L131" s="1"/>
  <c r="E133" i="6" s="1"/>
  <c r="D133" s="1"/>
  <c r="B22" i="5" s="1"/>
  <c r="J196" i="1"/>
  <c r="L196" s="1"/>
  <c r="E197" i="6" s="1"/>
  <c r="D197" s="1"/>
  <c r="B153" i="5" s="1"/>
  <c r="J326" i="1"/>
  <c r="L326" s="1"/>
  <c r="E327" i="6" s="1"/>
  <c r="D327" s="1"/>
  <c r="B198" i="5" s="1"/>
  <c r="J390" i="1"/>
  <c r="L390" s="1"/>
  <c r="E389" i="6" s="1"/>
  <c r="D389" s="1"/>
  <c r="B271" i="5" s="1"/>
  <c r="J459" i="1"/>
  <c r="L459" s="1"/>
  <c r="E458" i="6" s="1"/>
  <c r="D458" s="1"/>
  <c r="B343" i="5" s="1"/>
  <c r="J522" i="1"/>
  <c r="L522" s="1"/>
  <c r="E521" i="6" s="1"/>
  <c r="D521" s="1"/>
  <c r="C521" s="1"/>
  <c r="J222" i="1"/>
  <c r="L222" s="1"/>
  <c r="E223" i="6" s="1"/>
  <c r="D223" s="1"/>
  <c r="B167" i="5" s="1"/>
  <c r="J539" i="1"/>
  <c r="L539" s="1"/>
  <c r="E538" i="6" s="1"/>
  <c r="D538" s="1"/>
  <c r="C538" s="1"/>
  <c r="J269" i="1"/>
  <c r="L269" s="1"/>
  <c r="E270" i="6" s="1"/>
  <c r="D270" s="1"/>
  <c r="B362" i="5" s="1"/>
  <c r="J30" i="1"/>
  <c r="L30" s="1"/>
  <c r="E35" i="6" s="1"/>
  <c r="D35" s="1"/>
  <c r="C35" s="1"/>
  <c r="J104" i="1"/>
  <c r="L104" s="1"/>
  <c r="E108" i="6" s="1"/>
  <c r="D108" s="1"/>
  <c r="C108" s="1"/>
  <c r="J167" i="1"/>
  <c r="L167" s="1"/>
  <c r="E168" i="6" s="1"/>
  <c r="D168" s="1"/>
  <c r="B115" i="5" s="1"/>
  <c r="J360" i="1"/>
  <c r="L360" s="1"/>
  <c r="E359" i="6" s="1"/>
  <c r="D359" s="1"/>
  <c r="B239" i="5" s="1"/>
  <c r="J428" i="1"/>
  <c r="L428" s="1"/>
  <c r="E427" i="6" s="1"/>
  <c r="D427" s="1"/>
  <c r="C427" s="1"/>
  <c r="J494" i="1"/>
  <c r="L494" s="1"/>
  <c r="E493" i="6" s="1"/>
  <c r="D493" s="1"/>
  <c r="C493" s="1"/>
  <c r="J558" i="1"/>
  <c r="L558" s="1"/>
  <c r="E557" i="6" s="1"/>
  <c r="D557" s="1"/>
  <c r="C557" s="1"/>
  <c r="J392" i="1"/>
  <c r="L392" s="1"/>
  <c r="E391" i="6" s="1"/>
  <c r="D391" s="1"/>
  <c r="B273" i="5" s="1"/>
  <c r="J513" i="1"/>
  <c r="L513" s="1"/>
  <c r="E512" i="6" s="1"/>
  <c r="D512" s="1"/>
  <c r="C512" s="1"/>
  <c r="J247" i="1"/>
  <c r="L247" s="1"/>
  <c r="E248" i="6" s="1"/>
  <c r="D248" s="1"/>
  <c r="B420" i="5" s="1"/>
  <c r="J49" i="1"/>
  <c r="L49" s="1"/>
  <c r="E53" i="6" s="1"/>
  <c r="D53" s="1"/>
  <c r="C53" s="1"/>
  <c r="J331" i="1"/>
  <c r="L331" s="1"/>
  <c r="E331" i="6" s="1"/>
  <c r="D331" s="1"/>
  <c r="C331" s="1"/>
  <c r="J594" i="1"/>
  <c r="L594" s="1"/>
  <c r="E593" i="6" s="1"/>
  <c r="D593" s="1"/>
  <c r="C593" s="1"/>
  <c r="J272" i="1"/>
  <c r="L272" s="1"/>
  <c r="E273" i="6" s="1"/>
  <c r="D273" s="1"/>
  <c r="B365" i="5" s="1"/>
  <c r="J33" i="1"/>
  <c r="L33" s="1"/>
  <c r="E38" i="6" s="1"/>
  <c r="D38" s="1"/>
  <c r="C38" s="1"/>
  <c r="J107" i="1"/>
  <c r="L107" s="1"/>
  <c r="E111" i="6" s="1"/>
  <c r="D111" s="1"/>
  <c r="C111" s="1"/>
  <c r="J170" i="1"/>
  <c r="L170" s="1"/>
  <c r="E171" i="6" s="1"/>
  <c r="D171" s="1"/>
  <c r="B121" i="5" s="1"/>
  <c r="J363" i="1"/>
  <c r="L363" s="1"/>
  <c r="E362" i="6" s="1"/>
  <c r="D362" s="1"/>
  <c r="B242" i="5" s="1"/>
  <c r="J493" i="1"/>
  <c r="L493" s="1"/>
  <c r="E492" i="6" s="1"/>
  <c r="D492" s="1"/>
  <c r="C492" s="1"/>
  <c r="J243" i="1"/>
  <c r="L243" s="1"/>
  <c r="E244" i="6" s="1"/>
  <c r="D244" s="1"/>
  <c r="B416" i="5" s="1"/>
  <c r="J181" i="1"/>
  <c r="L181" s="1"/>
  <c r="E182" i="6" s="1"/>
  <c r="D182" s="1"/>
  <c r="B129" i="5" s="1"/>
  <c r="J516" i="1"/>
  <c r="L516" s="1"/>
  <c r="E515" i="6" s="1"/>
  <c r="D515" s="1"/>
  <c r="C515" s="1"/>
  <c r="J226" i="1"/>
  <c r="L226" s="1"/>
  <c r="E227" i="6" s="1"/>
  <c r="D227" s="1"/>
  <c r="C227" s="1"/>
  <c r="J543" i="1"/>
  <c r="L543" s="1"/>
  <c r="E542" i="6" s="1"/>
  <c r="D542" s="1"/>
  <c r="C542" s="1"/>
  <c r="J630" i="1"/>
  <c r="L630" s="1"/>
  <c r="E629" i="6" s="1"/>
  <c r="D629" s="1"/>
  <c r="C629" s="1"/>
  <c r="J234" i="1"/>
  <c r="L234" s="1"/>
  <c r="E235" i="6" s="1"/>
  <c r="D235" s="1"/>
  <c r="B407" i="5" s="1"/>
  <c r="J298" i="1"/>
  <c r="L298" s="1"/>
  <c r="E299" i="6" s="1"/>
  <c r="D299" s="1"/>
  <c r="B391" i="5" s="1"/>
  <c r="J62" i="1"/>
  <c r="L62" s="1"/>
  <c r="E66" i="6" s="1"/>
  <c r="D66" s="1"/>
  <c r="C66" s="1"/>
  <c r="J127" i="1"/>
  <c r="L127" s="1"/>
  <c r="E129" i="6" s="1"/>
  <c r="D129" s="1"/>
  <c r="B4" i="5" s="1"/>
  <c r="J192" i="1"/>
  <c r="L192" s="1"/>
  <c r="E193" i="6" s="1"/>
  <c r="D193" s="1"/>
  <c r="B143" i="5" s="1"/>
  <c r="J322" i="1"/>
  <c r="L322" s="1"/>
  <c r="E323" i="6" s="1"/>
  <c r="D323" s="1"/>
  <c r="B191" i="5" s="1"/>
  <c r="J386" i="1"/>
  <c r="L386" s="1"/>
  <c r="E385" i="6" s="1"/>
  <c r="D385" s="1"/>
  <c r="B267" i="5" s="1"/>
  <c r="J455" i="1"/>
  <c r="L455" s="1"/>
  <c r="E454" i="6" s="1"/>
  <c r="D454" s="1"/>
  <c r="B336" i="5" s="1"/>
  <c r="J519" i="1"/>
  <c r="L519" s="1"/>
  <c r="E518" i="6" s="1"/>
  <c r="D518" s="1"/>
  <c r="C518" s="1"/>
  <c r="J583" i="1"/>
  <c r="L583" s="1"/>
  <c r="E582" i="6" s="1"/>
  <c r="D582" s="1"/>
  <c r="C582" s="1"/>
  <c r="J206" i="1"/>
  <c r="L206" s="1"/>
  <c r="E207" i="6" s="1"/>
  <c r="D207" s="1"/>
  <c r="C207" s="1"/>
  <c r="J265" i="1"/>
  <c r="L265" s="1"/>
  <c r="J26"/>
  <c r="L26" s="1"/>
  <c r="E31" i="6" s="1"/>
  <c r="D31" s="1"/>
  <c r="C31" s="1"/>
  <c r="J100" i="1"/>
  <c r="L100" s="1"/>
  <c r="E104" i="6" s="1"/>
  <c r="D104" s="1"/>
  <c r="B61" i="5" s="1"/>
  <c r="J163" i="1"/>
  <c r="L163" s="1"/>
  <c r="E164" i="6" s="1"/>
  <c r="D164" s="1"/>
  <c r="B108" i="5" s="1"/>
  <c r="J228" i="1"/>
  <c r="L228" s="1"/>
  <c r="E229" i="6" s="1"/>
  <c r="D229" s="1"/>
  <c r="C229" s="1"/>
  <c r="J356" i="1"/>
  <c r="L356" s="1"/>
  <c r="E355" i="6" s="1"/>
  <c r="D355" s="1"/>
  <c r="B238" i="5" s="1"/>
  <c r="J425" i="1"/>
  <c r="L425" s="1"/>
  <c r="E424" i="6" s="1"/>
  <c r="D424" s="1"/>
  <c r="B307" i="5" s="1"/>
  <c r="J490" i="1"/>
  <c r="L490" s="1"/>
  <c r="E489" i="6" s="1"/>
  <c r="D489" s="1"/>
  <c r="C489" s="1"/>
  <c r="J553" i="1"/>
  <c r="L553" s="1"/>
  <c r="E552" i="6" s="1"/>
  <c r="D552" s="1"/>
  <c r="C552" s="1"/>
  <c r="J380" i="1"/>
  <c r="L380" s="1"/>
  <c r="E379" i="6" s="1"/>
  <c r="D379" s="1"/>
  <c r="C379" s="1"/>
  <c r="J505" i="1"/>
  <c r="L505" s="1"/>
  <c r="E504" i="6" s="1"/>
  <c r="D504" s="1"/>
  <c r="C504" s="1"/>
  <c r="J239" i="1"/>
  <c r="L239" s="1"/>
  <c r="E240" i="6" s="1"/>
  <c r="D240" s="1"/>
  <c r="B412" i="5" s="1"/>
  <c r="J40" i="1"/>
  <c r="L40" s="1"/>
  <c r="E45" i="6" s="1"/>
  <c r="D45" s="1"/>
  <c r="C45" s="1"/>
  <c r="J315" i="1"/>
  <c r="L315" s="1"/>
  <c r="E316" i="6" s="1"/>
  <c r="D316" s="1"/>
  <c r="B181" i="5" s="1"/>
  <c r="J584" i="1"/>
  <c r="L584" s="1"/>
  <c r="E583" i="6" s="1"/>
  <c r="D583" s="1"/>
  <c r="C583" s="1"/>
  <c r="J268" i="1"/>
  <c r="L268" s="1"/>
  <c r="E269" i="6" s="1"/>
  <c r="D269" s="1"/>
  <c r="B361" i="5" s="1"/>
  <c r="J29" i="1"/>
  <c r="L29" s="1"/>
  <c r="E34" i="6" s="1"/>
  <c r="D34" s="1"/>
  <c r="C34" s="1"/>
  <c r="J103" i="1"/>
  <c r="L103" s="1"/>
  <c r="E107" i="6" s="1"/>
  <c r="D107" s="1"/>
  <c r="C107" s="1"/>
  <c r="J166" i="1"/>
  <c r="L166" s="1"/>
  <c r="E167" i="6" s="1"/>
  <c r="D167" s="1"/>
  <c r="B114" i="5" s="1"/>
  <c r="J359" i="1"/>
  <c r="L359" s="1"/>
  <c r="E358" i="6" s="1"/>
  <c r="D358" s="1"/>
  <c r="B237" i="5" s="1"/>
  <c r="J485" i="1"/>
  <c r="L485" s="1"/>
  <c r="E484" i="6" s="1"/>
  <c r="D484" s="1"/>
  <c r="C484" s="1"/>
  <c r="J235" i="1"/>
  <c r="L235" s="1"/>
  <c r="E236" i="6" s="1"/>
  <c r="D236" s="1"/>
  <c r="B408" i="5" s="1"/>
  <c r="J169" i="1"/>
  <c r="L169" s="1"/>
  <c r="E170" i="6" s="1"/>
  <c r="D170" s="1"/>
  <c r="B120" i="5" s="1"/>
  <c r="J504" i="1"/>
  <c r="L504" s="1"/>
  <c r="E503" i="6" s="1"/>
  <c r="D503" s="1"/>
  <c r="C503" s="1"/>
  <c r="J210" i="1"/>
  <c r="L210" s="1"/>
  <c r="E211" i="6" s="1"/>
  <c r="D211" s="1"/>
  <c r="C211" s="1"/>
  <c r="J526" i="1"/>
  <c r="L526" s="1"/>
  <c r="E525" i="6" s="1"/>
  <c r="D525" s="1"/>
  <c r="C525" s="1"/>
  <c r="J628" i="1"/>
  <c r="L628" s="1"/>
  <c r="E627" i="6" s="1"/>
  <c r="D627" s="1"/>
  <c r="C627" s="1"/>
  <c r="J57" i="1"/>
  <c r="L57" s="1"/>
  <c r="E61" i="6" s="1"/>
  <c r="D61" s="1"/>
  <c r="C61" s="1"/>
  <c r="J294" i="1"/>
  <c r="L294" s="1"/>
  <c r="E295" i="6" s="1"/>
  <c r="D295" s="1"/>
  <c r="B387" i="5" s="1"/>
  <c r="J56" i="1"/>
  <c r="L56" s="1"/>
  <c r="E60" i="6" s="1"/>
  <c r="D60" s="1"/>
  <c r="C60" s="1"/>
  <c r="J123" i="1"/>
  <c r="L123" s="1"/>
  <c r="J188"/>
  <c r="L188" s="1"/>
  <c r="E189" i="6" s="1"/>
  <c r="D189" s="1"/>
  <c r="B139" i="5" s="1"/>
  <c r="J318" i="1"/>
  <c r="L318" s="1"/>
  <c r="E319" i="6" s="1"/>
  <c r="D319" s="1"/>
  <c r="B184" i="5" s="1"/>
  <c r="J382" i="1"/>
  <c r="L382" s="1"/>
  <c r="E381" i="6" s="1"/>
  <c r="D381" s="1"/>
  <c r="B263" i="5" s="1"/>
  <c r="J451" i="1"/>
  <c r="L451" s="1"/>
  <c r="E450" i="6" s="1"/>
  <c r="D450" s="1"/>
  <c r="C450" s="1"/>
  <c r="J515" i="1"/>
  <c r="L515" s="1"/>
  <c r="E514" i="6" s="1"/>
  <c r="D514" s="1"/>
  <c r="C514" s="1"/>
  <c r="J579" i="1"/>
  <c r="L579" s="1"/>
  <c r="E578" i="6" s="1"/>
  <c r="D578" s="1"/>
  <c r="C578" s="1"/>
  <c r="J189" i="1"/>
  <c r="L189" s="1"/>
  <c r="E190" i="6" s="1"/>
  <c r="D190" s="1"/>
  <c r="B140" i="5" s="1"/>
  <c r="J508" i="1"/>
  <c r="L508" s="1"/>
  <c r="E507" i="6" s="1"/>
  <c r="D507" s="1"/>
  <c r="C507" s="1"/>
  <c r="J261" i="1"/>
  <c r="L261" s="1"/>
  <c r="E262" i="6" s="1"/>
  <c r="D262" s="1"/>
  <c r="B434" i="5" s="1"/>
  <c r="J22" i="1"/>
  <c r="L22" s="1"/>
  <c r="E27" i="6" s="1"/>
  <c r="D27" s="1"/>
  <c r="C27" s="1"/>
  <c r="J94" i="1"/>
  <c r="L94" s="1"/>
  <c r="E98" i="6" s="1"/>
  <c r="D98" s="1"/>
  <c r="C98" s="1"/>
  <c r="J159" i="1"/>
  <c r="L159" s="1"/>
  <c r="E161" i="6" s="1"/>
  <c r="D161" s="1"/>
  <c r="C161" s="1"/>
  <c r="J224" i="1"/>
  <c r="L224" s="1"/>
  <c r="E225" i="6" s="1"/>
  <c r="D225" s="1"/>
  <c r="B172" i="5" s="1"/>
  <c r="J417" i="1"/>
  <c r="L417" s="1"/>
  <c r="E416" i="6" s="1"/>
  <c r="D416" s="1"/>
  <c r="C416" s="1"/>
  <c r="J486" i="1"/>
  <c r="L486" s="1"/>
  <c r="E485" i="6" s="1"/>
  <c r="D485" s="1"/>
  <c r="C485" s="1"/>
  <c r="J549" i="1"/>
  <c r="L549" s="1"/>
  <c r="E548" i="6" s="1"/>
  <c r="D548" s="1"/>
  <c r="C548" s="1"/>
  <c r="J2" i="1"/>
  <c r="L2" s="1"/>
  <c r="E5" i="6" s="1"/>
  <c r="D5" s="1"/>
  <c r="C5" s="1"/>
  <c r="J497" i="1"/>
  <c r="L497" s="1"/>
  <c r="E496" i="6" s="1"/>
  <c r="D496" s="1"/>
  <c r="C496" s="1"/>
  <c r="J231" i="1"/>
  <c r="L231" s="1"/>
  <c r="E232" i="6" s="1"/>
  <c r="D232" s="1"/>
  <c r="B404" i="5" s="1"/>
  <c r="J36" i="1"/>
  <c r="L36" s="1"/>
  <c r="E41" i="6" s="1"/>
  <c r="D41" s="1"/>
  <c r="C41" s="1"/>
  <c r="J230" i="1"/>
  <c r="L230" s="1"/>
  <c r="E231" i="6" s="1"/>
  <c r="D231" s="1"/>
  <c r="C231" s="1"/>
  <c r="J568" i="1"/>
  <c r="L568" s="1"/>
  <c r="E567" i="6" s="1"/>
  <c r="D567" s="1"/>
  <c r="C567" s="1"/>
  <c r="J264" i="1"/>
  <c r="L264" s="1"/>
  <c r="E265" i="6" s="1"/>
  <c r="D265" s="1"/>
  <c r="B357" i="5" s="1"/>
  <c r="J25" i="1"/>
  <c r="L25" s="1"/>
  <c r="E30" i="6" s="1"/>
  <c r="D30" s="1"/>
  <c r="C30" s="1"/>
  <c r="J98" i="1"/>
  <c r="L98" s="1"/>
  <c r="E102" i="6" s="1"/>
  <c r="D102" s="1"/>
  <c r="B56" i="5" s="1"/>
  <c r="J162" i="1"/>
  <c r="L162" s="1"/>
  <c r="E163" i="6" s="1"/>
  <c r="D163" s="1"/>
  <c r="B104" i="5" s="1"/>
  <c r="J227" i="1"/>
  <c r="L227" s="1"/>
  <c r="E228" i="6" s="1"/>
  <c r="D228" s="1"/>
  <c r="C228" s="1"/>
  <c r="J355" i="1"/>
  <c r="L355" s="1"/>
  <c r="E354" i="6" s="1"/>
  <c r="D354" s="1"/>
  <c r="B234" i="5" s="1"/>
  <c r="J477" i="1"/>
  <c r="L477" s="1"/>
  <c r="E476" i="6" s="1"/>
  <c r="D476" s="1"/>
  <c r="C476" s="1"/>
  <c r="J602" i="1"/>
  <c r="L602" s="1"/>
  <c r="E601" i="6" s="1"/>
  <c r="D601" s="1"/>
  <c r="J153" i="1"/>
  <c r="L153" s="1"/>
  <c r="E155" i="6" s="1"/>
  <c r="D155" s="1"/>
  <c r="C155" s="1"/>
  <c r="J484" i="1"/>
  <c r="L484" s="1"/>
  <c r="E483" i="6" s="1"/>
  <c r="D483" s="1"/>
  <c r="C483" s="1"/>
  <c r="J193" i="1"/>
  <c r="L193" s="1"/>
  <c r="E194" i="6" s="1"/>
  <c r="D194" s="1"/>
  <c r="B144" i="5" s="1"/>
  <c r="J512" i="1"/>
  <c r="L512" s="1"/>
  <c r="E511" i="6" s="1"/>
  <c r="D511" s="1"/>
  <c r="C511" s="1"/>
  <c r="J626" i="1"/>
  <c r="L626" s="1"/>
  <c r="E625" i="6" s="1"/>
  <c r="D625" s="1"/>
  <c r="C625" s="1"/>
  <c r="J99" i="1"/>
  <c r="L99" s="1"/>
  <c r="E103" i="6" s="1"/>
  <c r="D103" s="1"/>
  <c r="B60" i="5" s="1"/>
  <c r="J290" i="1"/>
  <c r="L290" s="1"/>
  <c r="E291" i="6" s="1"/>
  <c r="D291" s="1"/>
  <c r="B383" i="5" s="1"/>
  <c r="J52" i="1"/>
  <c r="L52" s="1"/>
  <c r="E56" i="6" s="1"/>
  <c r="D56" s="1"/>
  <c r="C56" s="1"/>
  <c r="J119" i="1"/>
  <c r="L119" s="1"/>
  <c r="E123" i="6" s="1"/>
  <c r="D123" s="1"/>
  <c r="B81" i="5" s="1"/>
  <c r="J184" i="1"/>
  <c r="L184" s="1"/>
  <c r="E185" i="6" s="1"/>
  <c r="D185" s="1"/>
  <c r="B135" i="5" s="1"/>
  <c r="J378" i="1"/>
  <c r="L378" s="1"/>
  <c r="E377" i="6" s="1"/>
  <c r="D377" s="1"/>
  <c r="C377" s="1"/>
  <c r="J447" i="1"/>
  <c r="L447" s="1"/>
  <c r="E446" i="6" s="1"/>
  <c r="D446" s="1"/>
  <c r="B329" i="5" s="1"/>
  <c r="J511" i="1"/>
  <c r="L511" s="1"/>
  <c r="E510" i="6" s="1"/>
  <c r="D510" s="1"/>
  <c r="C510" s="1"/>
  <c r="J575" i="1"/>
  <c r="L575" s="1"/>
  <c r="E574" i="6" s="1"/>
  <c r="D574" s="1"/>
  <c r="C574" s="1"/>
  <c r="J173" i="1"/>
  <c r="L173" s="1"/>
  <c r="E174" i="6" s="1"/>
  <c r="D174" s="1"/>
  <c r="B124" i="5" s="1"/>
  <c r="J492" i="1"/>
  <c r="L492" s="1"/>
  <c r="E491" i="6" s="1"/>
  <c r="D491" s="1"/>
  <c r="C491" s="1"/>
  <c r="J257" i="1"/>
  <c r="L257" s="1"/>
  <c r="E258" i="6" s="1"/>
  <c r="D258" s="1"/>
  <c r="B430" i="5" s="1"/>
  <c r="J17" i="1"/>
  <c r="L17" s="1"/>
  <c r="E20" i="6" s="1"/>
  <c r="D20" s="1"/>
  <c r="C20" s="1"/>
  <c r="J90" i="1"/>
  <c r="L90" s="1"/>
  <c r="E94" i="6" s="1"/>
  <c r="D94" s="1"/>
  <c r="B45" i="5" s="1"/>
  <c r="J155" i="1"/>
  <c r="L155" s="1"/>
  <c r="E157" i="6" s="1"/>
  <c r="D157" s="1"/>
  <c r="C157" s="1"/>
  <c r="J220" i="1"/>
  <c r="L220" s="1"/>
  <c r="E221" i="6" s="1"/>
  <c r="D221" s="1"/>
  <c r="B165" i="5" s="1"/>
  <c r="J349" i="1"/>
  <c r="L349" s="1"/>
  <c r="E348" i="6" s="1"/>
  <c r="D348" s="1"/>
  <c r="B225" i="5" s="1"/>
  <c r="J413" i="1"/>
  <c r="L413" s="1"/>
  <c r="E412" i="6" s="1"/>
  <c r="D412" s="1"/>
  <c r="B297" i="5" s="1"/>
  <c r="J482" i="1"/>
  <c r="L482" s="1"/>
  <c r="E481" i="6" s="1"/>
  <c r="D481" s="1"/>
  <c r="C481" s="1"/>
  <c r="J545" i="1"/>
  <c r="L545" s="1"/>
  <c r="E544" i="6" s="1"/>
  <c r="D544" s="1"/>
  <c r="C544" s="1"/>
  <c r="J608" i="1"/>
  <c r="L608" s="1"/>
  <c r="E607" i="6" s="1"/>
  <c r="D607" s="1"/>
  <c r="C607" s="1"/>
  <c r="J489" i="1"/>
  <c r="L489" s="1"/>
  <c r="E488" i="6" s="1"/>
  <c r="D488" s="1"/>
  <c r="C488" s="1"/>
  <c r="J607" i="1"/>
  <c r="L607" s="1"/>
  <c r="E606" i="6" s="1"/>
  <c r="D606" s="1"/>
  <c r="C606" s="1"/>
  <c r="J32" i="1"/>
  <c r="L32" s="1"/>
  <c r="E37" i="6" s="1"/>
  <c r="D37" s="1"/>
  <c r="C37" s="1"/>
  <c r="J214" i="1"/>
  <c r="L214" s="1"/>
  <c r="E215" i="6" s="1"/>
  <c r="D215" s="1"/>
  <c r="C215" s="1"/>
  <c r="J551" i="1"/>
  <c r="L551" s="1"/>
  <c r="E550" i="6" s="1"/>
  <c r="D550" s="1"/>
  <c r="C550" s="1"/>
  <c r="J260" i="1"/>
  <c r="L260" s="1"/>
  <c r="E261" i="6" s="1"/>
  <c r="D261" s="1"/>
  <c r="B433" i="5" s="1"/>
  <c r="J21" i="1"/>
  <c r="L21" s="1"/>
  <c r="E26" i="6" s="1"/>
  <c r="D26" s="1"/>
  <c r="C26" s="1"/>
  <c r="J93" i="1"/>
  <c r="L93" s="1"/>
  <c r="E97" i="6" s="1"/>
  <c r="D97" s="1"/>
  <c r="C97" s="1"/>
  <c r="J158" i="1"/>
  <c r="L158" s="1"/>
  <c r="E160" i="6" s="1"/>
  <c r="D160" s="1"/>
  <c r="C160" s="1"/>
  <c r="J223" i="1"/>
  <c r="L223" s="1"/>
  <c r="E224" i="6" s="1"/>
  <c r="D224" s="1"/>
  <c r="B168" i="5" s="1"/>
  <c r="J352" i="1"/>
  <c r="L352" s="1"/>
  <c r="E351" i="6" s="1"/>
  <c r="D351" s="1"/>
  <c r="B228" i="5" s="1"/>
  <c r="J465" i="1"/>
  <c r="L465" s="1"/>
  <c r="E464" i="6" s="1"/>
  <c r="D464" s="1"/>
  <c r="B349" i="5" s="1"/>
  <c r="J603" i="1"/>
  <c r="L603" s="1"/>
  <c r="E602" i="6" s="1"/>
  <c r="D602" s="1"/>
  <c r="C602" s="1"/>
  <c r="J136" i="1"/>
  <c r="L136" s="1"/>
  <c r="E138" i="6" s="1"/>
  <c r="D138" s="1"/>
  <c r="B25" i="5" s="1"/>
  <c r="J468" i="1"/>
  <c r="L468" s="1"/>
  <c r="E467" i="6" s="1"/>
  <c r="D467" s="1"/>
  <c r="C467" s="1"/>
  <c r="J177" i="1"/>
  <c r="L177" s="1"/>
  <c r="E178" i="6" s="1"/>
  <c r="D178" s="1"/>
  <c r="B128" i="5" s="1"/>
  <c r="J496" i="1"/>
  <c r="L496" s="1"/>
  <c r="E495" i="6" s="1"/>
  <c r="D495" s="1"/>
  <c r="C495" s="1"/>
  <c r="J624" i="1"/>
  <c r="L624" s="1"/>
  <c r="E623" i="6" s="1"/>
  <c r="D623" s="1"/>
  <c r="C623" s="1"/>
  <c r="J373" i="1"/>
  <c r="L373" s="1"/>
  <c r="E372" i="6" s="1"/>
  <c r="D372" s="1"/>
  <c r="B255" i="5" s="1"/>
  <c r="J286" i="1"/>
  <c r="L286" s="1"/>
  <c r="E287" i="6" s="1"/>
  <c r="D287" s="1"/>
  <c r="B379" i="5" s="1"/>
  <c r="J48" i="1"/>
  <c r="L48" s="1"/>
  <c r="E52" i="6" s="1"/>
  <c r="D52" s="1"/>
  <c r="C52" s="1"/>
  <c r="J115" i="1"/>
  <c r="L115" s="1"/>
  <c r="E119" i="6" s="1"/>
  <c r="D119" s="1"/>
  <c r="B74" i="5" s="1"/>
  <c r="J180" i="1"/>
  <c r="L180" s="1"/>
  <c r="E181" i="6" s="1"/>
  <c r="D181" s="1"/>
  <c r="B152" i="5" s="1"/>
  <c r="J374" i="1"/>
  <c r="L374" s="1"/>
  <c r="E373" i="6" s="1"/>
  <c r="D373" s="1"/>
  <c r="B256" i="5" s="1"/>
  <c r="J443" i="1"/>
  <c r="L443" s="1"/>
  <c r="E442" i="6" s="1"/>
  <c r="D442" s="1"/>
  <c r="B325" i="5" s="1"/>
  <c r="J507" i="1"/>
  <c r="L507" s="1"/>
  <c r="E506" i="6" s="1"/>
  <c r="D506" s="1"/>
  <c r="C506" s="1"/>
  <c r="J571" i="1"/>
  <c r="L571" s="1"/>
  <c r="E570" i="6" s="1"/>
  <c r="D570" s="1"/>
  <c r="C570" s="1"/>
  <c r="J157" i="1"/>
  <c r="L157" s="1"/>
  <c r="E159" i="6" s="1"/>
  <c r="D159" s="1"/>
  <c r="C159" s="1"/>
  <c r="J476" i="1"/>
  <c r="L476" s="1"/>
  <c r="E475" i="6" s="1"/>
  <c r="D475" s="1"/>
  <c r="C475" s="1"/>
  <c r="J253" i="1"/>
  <c r="L253" s="1"/>
  <c r="E254" i="6" s="1"/>
  <c r="D254" s="1"/>
  <c r="B426" i="5" s="1"/>
  <c r="J13" i="1"/>
  <c r="L13" s="1"/>
  <c r="E16" i="6" s="1"/>
  <c r="D16" s="1"/>
  <c r="C16" s="1"/>
  <c r="J85" i="1"/>
  <c r="L85" s="1"/>
  <c r="E89" i="6" s="1"/>
  <c r="D89" s="1"/>
  <c r="B17" i="5" s="1"/>
  <c r="J151" i="1"/>
  <c r="L151" s="1"/>
  <c r="E153" i="6" s="1"/>
  <c r="D153" s="1"/>
  <c r="C153" s="1"/>
  <c r="J216" i="1"/>
  <c r="L216" s="1"/>
  <c r="E217" i="6" s="1"/>
  <c r="D217" s="1"/>
  <c r="C217" s="1"/>
  <c r="J345" i="1"/>
  <c r="L345" s="1"/>
  <c r="E344" i="6" s="1"/>
  <c r="D344" s="1"/>
  <c r="B218" i="5" s="1"/>
  <c r="J409" i="1"/>
  <c r="L409" s="1"/>
  <c r="E408" i="6" s="1"/>
  <c r="D408" s="1"/>
  <c r="B293" i="5" s="1"/>
  <c r="J478" i="1"/>
  <c r="L478" s="1"/>
  <c r="E477" i="6" s="1"/>
  <c r="D477" s="1"/>
  <c r="C477" s="1"/>
  <c r="J541" i="1"/>
  <c r="L541" s="1"/>
  <c r="E540" i="6" s="1"/>
  <c r="D540" s="1"/>
  <c r="C540" s="1"/>
  <c r="J604" i="1"/>
  <c r="L604" s="1"/>
  <c r="E603" i="6" s="1"/>
  <c r="D603" s="1"/>
  <c r="C603" s="1"/>
  <c r="J481" i="1"/>
  <c r="L481" s="1"/>
  <c r="E480" i="6" s="1"/>
  <c r="D480" s="1"/>
  <c r="C480" s="1"/>
  <c r="J595" i="1"/>
  <c r="L595" s="1"/>
  <c r="E594" i="6" s="1"/>
  <c r="D594" s="1"/>
  <c r="C594" s="1"/>
  <c r="J28" i="1"/>
  <c r="L28" s="1"/>
  <c r="E33" i="6" s="1"/>
  <c r="D33" s="1"/>
  <c r="C33" s="1"/>
  <c r="J202" i="1"/>
  <c r="L202" s="1"/>
  <c r="E203" i="6" s="1"/>
  <c r="D203" s="1"/>
  <c r="B159" i="5" s="1"/>
  <c r="J535" i="1"/>
  <c r="L535" s="1"/>
  <c r="E534" i="6" s="1"/>
  <c r="D534" s="1"/>
  <c r="C534" s="1"/>
  <c r="J256" i="1"/>
  <c r="L256" s="1"/>
  <c r="E257" i="6" s="1"/>
  <c r="D257" s="1"/>
  <c r="B429" i="5" s="1"/>
  <c r="J16" i="1"/>
  <c r="L16" s="1"/>
  <c r="E19" i="6" s="1"/>
  <c r="D19" s="1"/>
  <c r="C19" s="1"/>
  <c r="J89" i="1"/>
  <c r="L89" s="1"/>
  <c r="E93" i="6" s="1"/>
  <c r="D93" s="1"/>
  <c r="B44" i="5" s="1"/>
  <c r="J154" i="1"/>
  <c r="L154" s="1"/>
  <c r="E156" i="6" s="1"/>
  <c r="D156" s="1"/>
  <c r="C156" s="1"/>
  <c r="J219" i="1"/>
  <c r="L219" s="1"/>
  <c r="E220" i="6" s="1"/>
  <c r="D220" s="1"/>
  <c r="C220" s="1"/>
  <c r="J348" i="1"/>
  <c r="L348" s="1"/>
  <c r="E347" i="6" s="1"/>
  <c r="D347" s="1"/>
  <c r="B224" i="5" s="1"/>
  <c r="J457" i="1"/>
  <c r="L457" s="1"/>
  <c r="E456" i="6" s="1"/>
  <c r="D456" s="1"/>
  <c r="B338" i="5" s="1"/>
  <c r="J43" i="1"/>
  <c r="L43" s="1"/>
  <c r="E48" i="6" s="1"/>
  <c r="D48" s="1"/>
  <c r="C48" s="1"/>
  <c r="J120" i="1"/>
  <c r="L120" s="1"/>
  <c r="E124" i="6" s="1"/>
  <c r="D124" s="1"/>
  <c r="B82" i="5" s="1"/>
  <c r="J448" i="1"/>
  <c r="L448" s="1"/>
  <c r="E447" i="6" s="1"/>
  <c r="D447" s="1"/>
  <c r="B330" i="5" s="1"/>
  <c r="J161" i="1"/>
  <c r="L161" s="1"/>
  <c r="E162" i="6" s="1"/>
  <c r="D162" s="1"/>
  <c r="B103" i="5" s="1"/>
  <c r="J488" i="1"/>
  <c r="L488" s="1"/>
  <c r="E487" i="6" s="1"/>
  <c r="D487" s="1"/>
  <c r="C487" s="1"/>
  <c r="J627" i="1"/>
  <c r="L627" s="1"/>
  <c r="E626" i="6" s="1"/>
  <c r="D626" s="1"/>
  <c r="C626" s="1"/>
  <c r="J622" i="1"/>
  <c r="L622" s="1"/>
  <c r="E621" i="6" s="1"/>
  <c r="D621" s="1"/>
  <c r="C621" s="1"/>
  <c r="J421" i="1"/>
  <c r="L421" s="1"/>
  <c r="E420" i="6" s="1"/>
  <c r="D420" s="1"/>
  <c r="B303" i="5" s="1"/>
  <c r="J282" i="1"/>
  <c r="L282" s="1"/>
  <c r="E283" i="6" s="1"/>
  <c r="D283" s="1"/>
  <c r="B375" i="5" s="1"/>
  <c r="J39" i="1"/>
  <c r="L39" s="1"/>
  <c r="E44" i="6" s="1"/>
  <c r="D44" s="1"/>
  <c r="C44" s="1"/>
  <c r="J176" i="1"/>
  <c r="L176" s="1"/>
  <c r="E177" i="6" s="1"/>
  <c r="D177" s="1"/>
  <c r="B127" i="5" s="1"/>
  <c r="J310" i="1"/>
  <c r="L310" s="1"/>
  <c r="E311" i="6" s="1"/>
  <c r="D311" s="1"/>
  <c r="C311" s="1"/>
  <c r="J369" i="1"/>
  <c r="L369" s="1"/>
  <c r="E368" i="6" s="1"/>
  <c r="D368" s="1"/>
  <c r="B250" i="5" s="1"/>
  <c r="J439" i="1"/>
  <c r="L439" s="1"/>
  <c r="E438" i="6" s="1"/>
  <c r="D438" s="1"/>
  <c r="B321" i="5" s="1"/>
  <c r="J503" i="1"/>
  <c r="L503" s="1"/>
  <c r="E502" i="6" s="1"/>
  <c r="D502" s="1"/>
  <c r="C502" s="1"/>
  <c r="J567" i="1"/>
  <c r="L567" s="1"/>
  <c r="E566" i="6" s="1"/>
  <c r="D566" s="1"/>
  <c r="C566" s="1"/>
  <c r="J141" i="1"/>
  <c r="L141" s="1"/>
  <c r="E143" i="6" s="1"/>
  <c r="D143" s="1"/>
  <c r="B95" i="5" s="1"/>
  <c r="J460" i="1"/>
  <c r="L460" s="1"/>
  <c r="E459" i="6" s="1"/>
  <c r="D459" s="1"/>
  <c r="B344" i="5" s="1"/>
  <c r="J249" i="1"/>
  <c r="L249" s="1"/>
  <c r="E250" i="6" s="1"/>
  <c r="D250" s="1"/>
  <c r="B422" i="5" s="1"/>
  <c r="J8" i="1"/>
  <c r="L8" s="1"/>
  <c r="E11" i="6" s="1"/>
  <c r="D11" s="1"/>
  <c r="C11" s="1"/>
  <c r="J81" i="1"/>
  <c r="L81" s="1"/>
  <c r="E85" i="6" s="1"/>
  <c r="D85" s="1"/>
  <c r="B13" i="5" s="1"/>
  <c r="J147" i="1"/>
  <c r="L147" s="1"/>
  <c r="E149" i="6" s="1"/>
  <c r="D149" s="1"/>
  <c r="C149" s="1"/>
  <c r="J212" i="1"/>
  <c r="L212" s="1"/>
  <c r="E213" i="6" s="1"/>
  <c r="D213" s="1"/>
  <c r="C213" s="1"/>
  <c r="J341" i="1"/>
  <c r="L341" s="1"/>
  <c r="E340" i="6" s="1"/>
  <c r="D340" s="1"/>
  <c r="B211" i="5" s="1"/>
  <c r="J405" i="1"/>
  <c r="L405" s="1"/>
  <c r="E404" i="6" s="1"/>
  <c r="D404" s="1"/>
  <c r="B289" i="5" s="1"/>
  <c r="J474" i="1"/>
  <c r="L474" s="1"/>
  <c r="E473" i="6" s="1"/>
  <c r="D473" s="1"/>
  <c r="C473" s="1"/>
  <c r="J537" i="1"/>
  <c r="L537" s="1"/>
  <c r="E536" i="6" s="1"/>
  <c r="D536" s="1"/>
  <c r="B439" i="5" s="1"/>
  <c r="J596" i="1"/>
  <c r="L596" s="1"/>
  <c r="E595" i="6" s="1"/>
  <c r="D595" s="1"/>
  <c r="C595" s="1"/>
  <c r="J473" i="1"/>
  <c r="L473" s="1"/>
  <c r="E472" i="6" s="1"/>
  <c r="D472" s="1"/>
  <c r="C472" s="1"/>
  <c r="J592" i="1"/>
  <c r="L592" s="1"/>
  <c r="E591" i="6" s="1"/>
  <c r="D591" s="1"/>
  <c r="C591" s="1"/>
  <c r="J24" i="1"/>
  <c r="L24" s="1"/>
  <c r="E29" i="6" s="1"/>
  <c r="D29" s="1"/>
  <c r="C29" s="1"/>
  <c r="J185" i="1"/>
  <c r="L185" s="1"/>
  <c r="E186" i="6" s="1"/>
  <c r="D186" s="1"/>
  <c r="B136" i="5" s="1"/>
  <c r="J520" i="1"/>
  <c r="L520" s="1"/>
  <c r="E519" i="6" s="1"/>
  <c r="D519" s="1"/>
  <c r="C519" s="1"/>
  <c r="J252" i="1"/>
  <c r="L252" s="1"/>
  <c r="E253" i="6" s="1"/>
  <c r="D253" s="1"/>
  <c r="B425" i="5" s="1"/>
  <c r="J11" i="1"/>
  <c r="L11" s="1"/>
  <c r="E14" i="6" s="1"/>
  <c r="D14" s="1"/>
  <c r="C14" s="1"/>
  <c r="J84" i="1"/>
  <c r="L84" s="1"/>
  <c r="E88" i="6" s="1"/>
  <c r="D88" s="1"/>
  <c r="B16" i="5" s="1"/>
  <c r="J150" i="1"/>
  <c r="L150" s="1"/>
  <c r="E152" i="6" s="1"/>
  <c r="D152" s="1"/>
  <c r="C152" s="1"/>
  <c r="J215" i="1"/>
  <c r="L215" s="1"/>
  <c r="E216" i="6" s="1"/>
  <c r="D216" s="1"/>
  <c r="C216" s="1"/>
  <c r="J344" i="1"/>
  <c r="L344" s="1"/>
  <c r="E343" i="6" s="1"/>
  <c r="D343" s="1"/>
  <c r="B217" i="5" s="1"/>
  <c r="J449" i="1"/>
  <c r="L449" s="1"/>
  <c r="E448" i="6" s="1"/>
  <c r="D448" s="1"/>
  <c r="C448" s="1"/>
  <c r="J588" i="1"/>
  <c r="L588" s="1"/>
  <c r="E587" i="6" s="1"/>
  <c r="D587" s="1"/>
  <c r="C587" s="1"/>
  <c r="J106" i="1"/>
  <c r="L106" s="1"/>
  <c r="E110" i="6" s="1"/>
  <c r="D110" s="1"/>
  <c r="C110" s="1"/>
  <c r="J432" i="1"/>
  <c r="L432" s="1"/>
  <c r="E431" i="6" s="1"/>
  <c r="D431" s="1"/>
  <c r="C431" s="1"/>
  <c r="J145" i="1"/>
  <c r="L145" s="1"/>
  <c r="E147" i="6" s="1"/>
  <c r="D147" s="1"/>
  <c r="C147" s="1"/>
  <c r="J472" i="1"/>
  <c r="L472" s="1"/>
  <c r="E471" i="6" s="1"/>
  <c r="D471" s="1"/>
  <c r="C471" s="1"/>
  <c r="J625" i="1"/>
  <c r="L625" s="1"/>
  <c r="E624" i="6" s="1"/>
  <c r="D624" s="1"/>
  <c r="C624" s="1"/>
  <c r="J620" i="1"/>
  <c r="L620" s="1"/>
  <c r="E619" i="6" s="1"/>
  <c r="D619" s="1"/>
  <c r="C619" s="1"/>
  <c r="J419" i="1"/>
  <c r="L419" s="1"/>
  <c r="E418" i="6" s="1"/>
  <c r="D418" s="1"/>
  <c r="C418" s="1"/>
  <c r="J278" i="1"/>
  <c r="L278" s="1"/>
  <c r="E279" i="6" s="1"/>
  <c r="D279" s="1"/>
  <c r="B371" i="5" s="1"/>
  <c r="J35" i="1"/>
  <c r="L35" s="1"/>
  <c r="E40" i="6" s="1"/>
  <c r="D40" s="1"/>
  <c r="C40" s="1"/>
  <c r="J109" i="1"/>
  <c r="L109" s="1"/>
  <c r="E113" i="6" s="1"/>
  <c r="D113" s="1"/>
  <c r="B67" i="5" s="1"/>
  <c r="J172" i="1"/>
  <c r="L172" s="1"/>
  <c r="E173" i="6" s="1"/>
  <c r="D173" s="1"/>
  <c r="B123" i="5" s="1"/>
  <c r="J307" i="1"/>
  <c r="L307" s="1"/>
  <c r="E308" i="6" s="1"/>
  <c r="D308" s="1"/>
  <c r="C308" s="1"/>
  <c r="J365" i="1"/>
  <c r="L365" s="1"/>
  <c r="E364" i="6" s="1"/>
  <c r="D364" s="1"/>
  <c r="B247" i="5" s="1"/>
  <c r="J435" i="1"/>
  <c r="L435" s="1"/>
  <c r="E434" i="6" s="1"/>
  <c r="D434" s="1"/>
  <c r="B314" i="5" s="1"/>
  <c r="J499" i="1"/>
  <c r="L499" s="1"/>
  <c r="E498" i="6" s="1"/>
  <c r="D498" s="1"/>
  <c r="C498" s="1"/>
  <c r="J563" i="1"/>
  <c r="L563" s="1"/>
  <c r="E562" i="6" s="1"/>
  <c r="D562" s="1"/>
  <c r="C562" s="1"/>
  <c r="J124" i="1"/>
  <c r="L124" s="1"/>
  <c r="J444"/>
  <c r="L444" s="1"/>
  <c r="E443" i="6" s="1"/>
  <c r="D443" s="1"/>
  <c r="B326" i="5" s="1"/>
  <c r="J245" i="1"/>
  <c r="L245" s="1"/>
  <c r="E246" i="6" s="1"/>
  <c r="D246" s="1"/>
  <c r="B418" i="5" s="1"/>
  <c r="J97" i="1"/>
  <c r="L97" s="1"/>
  <c r="E101" i="6" s="1"/>
  <c r="D101" s="1"/>
  <c r="B55" i="5" s="1"/>
  <c r="J77" i="1"/>
  <c r="L77" s="1"/>
  <c r="E81" i="6" s="1"/>
  <c r="D81" s="1"/>
  <c r="B31" i="5" s="1"/>
  <c r="J143" i="1"/>
  <c r="L143" s="1"/>
  <c r="E145" i="6" s="1"/>
  <c r="D145" s="1"/>
  <c r="B97" i="5" s="1"/>
  <c r="J208" i="1"/>
  <c r="L208" s="1"/>
  <c r="E209" i="6" s="1"/>
  <c r="D209" s="1"/>
  <c r="C209" s="1"/>
  <c r="J337" i="1"/>
  <c r="L337" s="1"/>
  <c r="E336" i="6" s="1"/>
  <c r="D336" s="1"/>
  <c r="B204" i="5" s="1"/>
  <c r="J401" i="1"/>
  <c r="L401" s="1"/>
  <c r="E400" i="6" s="1"/>
  <c r="D400" s="1"/>
  <c r="B285" i="5" s="1"/>
  <c r="J470" i="1"/>
  <c r="L470" s="1"/>
  <c r="E469" i="6" s="1"/>
  <c r="D469" s="1"/>
  <c r="C469" s="1"/>
  <c r="J533" i="1"/>
  <c r="L533" s="1"/>
  <c r="E532" i="6" s="1"/>
  <c r="D532" s="1"/>
  <c r="C532" s="1"/>
  <c r="J44" i="1"/>
  <c r="L44" s="1"/>
  <c r="E49" i="6" s="1"/>
  <c r="D49" s="1"/>
  <c r="C49" s="1"/>
  <c r="J469" i="1"/>
  <c r="L469" s="1"/>
  <c r="E468" i="6" s="1"/>
  <c r="D468" s="1"/>
  <c r="C468" s="1"/>
  <c r="J585" i="1"/>
  <c r="L585" s="1"/>
  <c r="E584" i="6" s="1"/>
  <c r="D584" s="1"/>
  <c r="C584" s="1"/>
  <c r="J20" i="1"/>
  <c r="L20" s="1"/>
  <c r="E25" i="6" s="1"/>
  <c r="D25" s="1"/>
  <c r="C25" s="1"/>
  <c r="J165" i="1"/>
  <c r="L165" s="1"/>
  <c r="E166" i="6" s="1"/>
  <c r="D166" s="1"/>
  <c r="B113" i="5" s="1"/>
  <c r="J500" i="1"/>
  <c r="L500" s="1"/>
  <c r="E499" i="6" s="1"/>
  <c r="D499" s="1"/>
  <c r="C499" s="1"/>
  <c r="J248" i="1"/>
  <c r="L248" s="1"/>
  <c r="E249" i="6" s="1"/>
  <c r="D249" s="1"/>
  <c r="B421" i="5" s="1"/>
  <c r="J5" i="1"/>
  <c r="L5" s="1"/>
  <c r="E8" i="6" s="1"/>
  <c r="D8" s="1"/>
  <c r="C8" s="1"/>
  <c r="J80" i="1"/>
  <c r="L80" s="1"/>
  <c r="E84" i="6" s="1"/>
  <c r="D84" s="1"/>
  <c r="B34" i="5" s="1"/>
  <c r="J146" i="1"/>
  <c r="L146" s="1"/>
  <c r="E148" i="6" s="1"/>
  <c r="D148" s="1"/>
  <c r="C148" s="1"/>
  <c r="J211" i="1"/>
  <c r="L211" s="1"/>
  <c r="E212" i="6" s="1"/>
  <c r="D212" s="1"/>
  <c r="C212" s="1"/>
  <c r="J340" i="1"/>
  <c r="L340" s="1"/>
  <c r="E339" i="6" s="1"/>
  <c r="D339" s="1"/>
  <c r="B210" i="5" s="1"/>
  <c r="J437" i="1"/>
  <c r="L437" s="1"/>
  <c r="E436" i="6" s="1"/>
  <c r="D436" s="1"/>
  <c r="B319" i="5" s="1"/>
  <c r="J581" i="1"/>
  <c r="L581" s="1"/>
  <c r="E580" i="6" s="1"/>
  <c r="D580" s="1"/>
  <c r="C580" s="1"/>
  <c r="J83" i="1"/>
  <c r="L83" s="1"/>
  <c r="E87" i="6" s="1"/>
  <c r="D87" s="1"/>
  <c r="B15" i="5" s="1"/>
  <c r="J411" i="1"/>
  <c r="L411" s="1"/>
  <c r="E410" i="6" s="1"/>
  <c r="D410" s="1"/>
  <c r="B295" i="5" s="1"/>
  <c r="J128" i="1"/>
  <c r="L128" s="1"/>
  <c r="E130" i="6" s="1"/>
  <c r="D130" s="1"/>
  <c r="C130" s="1"/>
  <c r="J456" i="1"/>
  <c r="L456" s="1"/>
  <c r="E455" i="6" s="1"/>
  <c r="D455" s="1"/>
  <c r="B337" i="5" s="1"/>
  <c r="J623" i="1"/>
  <c r="L623" s="1"/>
  <c r="E622" i="6" s="1"/>
  <c r="D622" s="1"/>
  <c r="C622" s="1"/>
  <c r="J617" i="1"/>
  <c r="L617" s="1"/>
  <c r="E616" i="6" s="1"/>
  <c r="D616" s="1"/>
  <c r="C616" s="1"/>
  <c r="J610" i="1"/>
  <c r="L610" s="1"/>
  <c r="E609" i="6" s="1"/>
  <c r="D609" s="1"/>
  <c r="C609" s="1"/>
  <c r="J274" i="1"/>
  <c r="L274" s="1"/>
  <c r="E275" i="6" s="1"/>
  <c r="D275" s="1"/>
  <c r="B367" i="5" s="1"/>
  <c r="J31" i="1"/>
  <c r="L31" s="1"/>
  <c r="E36" i="6" s="1"/>
  <c r="D36" s="1"/>
  <c r="C36" s="1"/>
  <c r="J105" i="1"/>
  <c r="L105" s="1"/>
  <c r="E109" i="6" s="1"/>
  <c r="D109" s="1"/>
  <c r="C109" s="1"/>
  <c r="J168" i="1"/>
  <c r="L168" s="1"/>
  <c r="E169" i="6" s="1"/>
  <c r="D169" s="1"/>
  <c r="B116" i="5" s="1"/>
  <c r="J361" i="1"/>
  <c r="L361" s="1"/>
  <c r="E360" i="6" s="1"/>
  <c r="D360" s="1"/>
  <c r="B240" i="5" s="1"/>
  <c r="J429" i="1"/>
  <c r="L429" s="1"/>
  <c r="E428" i="6" s="1"/>
  <c r="D428" s="1"/>
  <c r="C428" s="1"/>
  <c r="J495" i="1"/>
  <c r="L495" s="1"/>
  <c r="E494" i="6" s="1"/>
  <c r="D494" s="1"/>
  <c r="C494" s="1"/>
  <c r="J559" i="1"/>
  <c r="L559" s="1"/>
  <c r="E558" i="6" s="1"/>
  <c r="D558" s="1"/>
  <c r="C558" s="1"/>
  <c r="J110" i="1"/>
  <c r="L110" s="1"/>
  <c r="E114" i="6" s="1"/>
  <c r="D114" s="1"/>
  <c r="B68" i="5" s="1"/>
  <c r="J241" i="1"/>
  <c r="L241" s="1"/>
  <c r="E242" i="6" s="1"/>
  <c r="D242" s="1"/>
  <c r="B414" i="5" s="1"/>
  <c r="J305" i="1"/>
  <c r="L305" s="1"/>
  <c r="E306" i="6" s="1"/>
  <c r="D306" s="1"/>
  <c r="B398" i="5" s="1"/>
  <c r="J73" i="1"/>
  <c r="L73" s="1"/>
  <c r="E77" i="6" s="1"/>
  <c r="D77" s="1"/>
  <c r="B7" i="5" s="1"/>
  <c r="J138" i="1"/>
  <c r="L138" s="1"/>
  <c r="E140" i="6" s="1"/>
  <c r="D140" s="1"/>
  <c r="B92" i="5" s="1"/>
  <c r="J204" i="1"/>
  <c r="L204" s="1"/>
  <c r="E205" i="6" s="1"/>
  <c r="D205" s="1"/>
  <c r="B161" i="5" s="1"/>
  <c r="J333" i="1"/>
  <c r="L333" s="1"/>
  <c r="E333" i="6" s="1"/>
  <c r="D333" s="1"/>
  <c r="C333" s="1"/>
  <c r="J397" i="1"/>
  <c r="L397" s="1"/>
  <c r="E396" i="6" s="1"/>
  <c r="D396" s="1"/>
  <c r="B281" i="5" s="1"/>
  <c r="J466" i="1"/>
  <c r="L466" s="1"/>
  <c r="E465" i="6" s="1"/>
  <c r="D465" s="1"/>
  <c r="B350" i="5" s="1"/>
  <c r="J528" i="1"/>
  <c r="L528" s="1"/>
  <c r="E527" i="6" s="1"/>
  <c r="D527" s="1"/>
  <c r="C527" s="1"/>
  <c r="J7" i="1"/>
  <c r="L7" s="1"/>
  <c r="E10" i="6" s="1"/>
  <c r="D10" s="1"/>
  <c r="C10" s="1"/>
  <c r="J461" i="1"/>
  <c r="L461" s="1"/>
  <c r="E460" i="6" s="1"/>
  <c r="D460" s="1"/>
  <c r="B345" i="5" s="1"/>
  <c r="J577" i="1"/>
  <c r="L577" s="1"/>
  <c r="E576" i="6" s="1"/>
  <c r="D576" s="1"/>
  <c r="C576" s="1"/>
  <c r="J15" i="1"/>
  <c r="L15" s="1"/>
  <c r="E18" i="6" s="1"/>
  <c r="D18" s="1"/>
  <c r="C18" s="1"/>
  <c r="J149" i="1"/>
  <c r="L149" s="1"/>
  <c r="E151" i="6" s="1"/>
  <c r="D151" s="1"/>
  <c r="C151" s="1"/>
  <c r="J480" i="1"/>
  <c r="L480" s="1"/>
  <c r="E479" i="6" s="1"/>
  <c r="D479" s="1"/>
  <c r="C479" s="1"/>
  <c r="J244" i="1"/>
  <c r="L244" s="1"/>
  <c r="E245" i="6" s="1"/>
  <c r="D245" s="1"/>
  <c r="B417" i="5" s="1"/>
  <c r="J530" i="1"/>
  <c r="L530" s="1"/>
  <c r="E529" i="6" s="1"/>
  <c r="D529" s="1"/>
  <c r="C529" s="1"/>
  <c r="J76" i="1"/>
  <c r="L76" s="1"/>
  <c r="E80" i="6" s="1"/>
  <c r="D80" s="1"/>
  <c r="B30" i="5" s="1"/>
  <c r="J142" i="1"/>
  <c r="L142" s="1"/>
  <c r="E144" i="6" s="1"/>
  <c r="D144" s="1"/>
  <c r="B96" i="5" s="1"/>
  <c r="J207" i="1"/>
  <c r="L207" s="1"/>
  <c r="E208" i="6" s="1"/>
  <c r="D208" s="1"/>
  <c r="C208" s="1"/>
  <c r="J336" i="1"/>
  <c r="L336" s="1"/>
  <c r="E335" i="6" s="1"/>
  <c r="D335" s="1"/>
  <c r="B203" i="5" s="1"/>
  <c r="J427" i="1"/>
  <c r="L427" s="1"/>
  <c r="E426" i="6" s="1"/>
  <c r="D426" s="1"/>
  <c r="C426" s="1"/>
  <c r="J569" i="1"/>
  <c r="L569" s="1"/>
  <c r="E568" i="6" s="1"/>
  <c r="D568" s="1"/>
  <c r="C568" s="1"/>
  <c r="J71" i="1"/>
  <c r="L71" s="1"/>
  <c r="E75" i="6" s="1"/>
  <c r="D75" s="1"/>
  <c r="C75" s="1"/>
  <c r="J399" i="1"/>
  <c r="L399" s="1"/>
  <c r="E398" i="6" s="1"/>
  <c r="D398" s="1"/>
  <c r="B283" i="5" s="1"/>
  <c r="J112" i="1"/>
  <c r="L112" s="1"/>
  <c r="E116" i="6" s="1"/>
  <c r="D116" s="1"/>
  <c r="B66" i="5" s="1"/>
  <c r="J440" i="1"/>
  <c r="L440" s="1"/>
  <c r="E439" i="6" s="1"/>
  <c r="D439" s="1"/>
  <c r="B315" i="5" s="1"/>
  <c r="J621" i="1"/>
  <c r="L621" s="1"/>
  <c r="E620" i="6" s="1"/>
  <c r="D620" s="1"/>
  <c r="C620" s="1"/>
  <c r="J615" i="1"/>
  <c r="L615" s="1"/>
  <c r="E614" i="6" s="1"/>
  <c r="D614" s="1"/>
  <c r="C614" s="1"/>
  <c r="J643" i="1"/>
  <c r="L643" s="1"/>
  <c r="E642" i="6" s="1"/>
  <c r="D642" s="1"/>
  <c r="C642" s="1"/>
  <c r="J270" i="1"/>
  <c r="L270" s="1"/>
  <c r="E271" i="6" s="1"/>
  <c r="D271" s="1"/>
  <c r="B363" i="5" s="1"/>
  <c r="J27" i="1"/>
  <c r="L27" s="1"/>
  <c r="E32" i="6" s="1"/>
  <c r="D32" s="1"/>
  <c r="C32" s="1"/>
  <c r="J101" i="1"/>
  <c r="L101" s="1"/>
  <c r="E105" i="6" s="1"/>
  <c r="D105" s="1"/>
  <c r="C105" s="1"/>
  <c r="J164" i="1"/>
  <c r="L164" s="1"/>
  <c r="E165" i="6" s="1"/>
  <c r="D165" s="1"/>
  <c r="B109" i="5" s="1"/>
  <c r="J229" i="1"/>
  <c r="L229" s="1"/>
  <c r="E230" i="6" s="1"/>
  <c r="D230" s="1"/>
  <c r="C230" s="1"/>
  <c r="J357" i="1"/>
  <c r="L357" s="1"/>
  <c r="E356" i="6" s="1"/>
  <c r="D356" s="1"/>
  <c r="B235" i="5" s="1"/>
  <c r="J426" i="1"/>
  <c r="L426" s="1"/>
  <c r="E425" i="6" s="1"/>
  <c r="D425" s="1"/>
  <c r="B308" i="5" s="1"/>
  <c r="J491" i="1"/>
  <c r="L491" s="1"/>
  <c r="E490" i="6" s="1"/>
  <c r="D490" s="1"/>
  <c r="C490" s="1"/>
  <c r="J555" i="1"/>
  <c r="L555" s="1"/>
  <c r="E554" i="6" s="1"/>
  <c r="D554" s="1"/>
  <c r="C554" s="1"/>
  <c r="J92" i="1"/>
  <c r="L92" s="1"/>
  <c r="E96" i="6" s="1"/>
  <c r="D96" s="1"/>
  <c r="C96" s="1"/>
  <c r="J407" i="1"/>
  <c r="L407" s="1"/>
  <c r="E406" i="6" s="1"/>
  <c r="D406" s="1"/>
  <c r="B291" i="5" s="1"/>
  <c r="J237" i="1"/>
  <c r="L237" s="1"/>
  <c r="E238" i="6" s="1"/>
  <c r="D238" s="1"/>
  <c r="B410" i="5" s="1"/>
  <c r="J301" i="1"/>
  <c r="L301" s="1"/>
  <c r="E302" i="6" s="1"/>
  <c r="D302" s="1"/>
  <c r="B394" i="5" s="1"/>
  <c r="J69" i="1"/>
  <c r="L69" s="1"/>
  <c r="E73" i="6" s="1"/>
  <c r="D73" s="1"/>
  <c r="C73" s="1"/>
  <c r="J134" i="1"/>
  <c r="L134" s="1"/>
  <c r="E136" i="6" s="1"/>
  <c r="D136" s="1"/>
  <c r="B23" i="5" s="1"/>
  <c r="J200" i="1"/>
  <c r="L200" s="1"/>
  <c r="E201" i="6" s="1"/>
  <c r="D201" s="1"/>
  <c r="B157" i="5" s="1"/>
  <c r="J329" i="1"/>
  <c r="L329" s="1"/>
  <c r="E329" i="6" s="1"/>
  <c r="D329" s="1"/>
  <c r="C329" s="1"/>
  <c r="J393" i="1"/>
  <c r="L393" s="1"/>
  <c r="E392" i="6" s="1"/>
  <c r="D392" s="1"/>
  <c r="B274" i="5" s="1"/>
  <c r="J462" i="1"/>
  <c r="L462" s="1"/>
  <c r="E461" i="6" s="1"/>
  <c r="D461" s="1"/>
  <c r="B346" i="5" s="1"/>
  <c r="J524" i="1"/>
  <c r="L524" s="1"/>
  <c r="E523" i="6" s="1"/>
  <c r="D523" s="1"/>
  <c r="C523" s="1"/>
  <c r="J589" i="1"/>
  <c r="L589" s="1"/>
  <c r="E588" i="6" s="1"/>
  <c r="D588" s="1"/>
  <c r="C588" s="1"/>
  <c r="J453" i="1"/>
  <c r="L453" s="1"/>
  <c r="E452" i="6" s="1"/>
  <c r="D452" s="1"/>
  <c r="B334" i="5" s="1"/>
  <c r="J573" i="1"/>
  <c r="L573" s="1"/>
  <c r="E572" i="6" s="1"/>
  <c r="D572" s="1"/>
  <c r="C572" s="1"/>
  <c r="J10" i="1"/>
  <c r="L10" s="1"/>
  <c r="E13" i="6" s="1"/>
  <c r="D13" s="1"/>
  <c r="C13" s="1"/>
  <c r="J132" i="1"/>
  <c r="L132" s="1"/>
  <c r="E134" i="6" s="1"/>
  <c r="D134" s="1"/>
  <c r="B26" i="5" s="1"/>
  <c r="J464" i="1"/>
  <c r="L464" s="1"/>
  <c r="E463" i="6" s="1"/>
  <c r="D463" s="1"/>
  <c r="B348" i="5" s="1"/>
  <c r="J240" i="1"/>
  <c r="L240" s="1"/>
  <c r="E241" i="6" s="1"/>
  <c r="D241" s="1"/>
  <c r="B413" i="5" s="1"/>
  <c r="J304" i="1"/>
  <c r="L304" s="1"/>
  <c r="E305" i="6" s="1"/>
  <c r="D305" s="1"/>
  <c r="B397" i="5" s="1"/>
  <c r="J72" i="1"/>
  <c r="L72" s="1"/>
  <c r="E76" i="6" s="1"/>
  <c r="D76" s="1"/>
  <c r="B6" i="5" s="1"/>
  <c r="J137" i="1"/>
  <c r="L137" s="1"/>
  <c r="E139" i="6" s="1"/>
  <c r="D139" s="1"/>
  <c r="B91" i="5" s="1"/>
  <c r="J203" i="1"/>
  <c r="L203" s="1"/>
  <c r="E204" i="6" s="1"/>
  <c r="D204" s="1"/>
  <c r="B160" i="5" s="1"/>
  <c r="J332" i="1"/>
  <c r="L332" s="1"/>
  <c r="E332" i="6" s="1"/>
  <c r="D332" s="1"/>
  <c r="C332" s="1"/>
  <c r="J416" i="1"/>
  <c r="L416" s="1"/>
  <c r="E415" i="6" s="1"/>
  <c r="D415" s="1"/>
  <c r="C415" s="1"/>
  <c r="J561" i="1"/>
  <c r="L561" s="1"/>
  <c r="E560" i="6" s="1"/>
  <c r="D560" s="1"/>
  <c r="C560" s="1"/>
  <c r="J303" i="1"/>
  <c r="L303" s="1"/>
  <c r="E304" i="6" s="1"/>
  <c r="D304" s="1"/>
  <c r="B396" i="5" s="1"/>
  <c r="J379" i="1"/>
  <c r="L379" s="1"/>
  <c r="E378" i="6" s="1"/>
  <c r="D378" s="1"/>
  <c r="C378" s="1"/>
  <c r="J96" i="1"/>
  <c r="L96" s="1"/>
  <c r="E100" i="6" s="1"/>
  <c r="D100" s="1"/>
  <c r="B51" i="5" s="1"/>
  <c r="J423" i="1"/>
  <c r="L423" s="1"/>
  <c r="E422" i="6" s="1"/>
  <c r="D422" s="1"/>
  <c r="B305" i="5" s="1"/>
  <c r="J618" i="1"/>
  <c r="L618" s="1"/>
  <c r="E617" i="6" s="1"/>
  <c r="D617" s="1"/>
  <c r="C617" s="1"/>
  <c r="J613" i="1"/>
  <c r="L613" s="1"/>
  <c r="E612" i="6" s="1"/>
  <c r="D612" s="1"/>
  <c r="C612" s="1"/>
  <c r="J641" i="1"/>
  <c r="L641" s="1"/>
  <c r="E640" i="6" s="1"/>
  <c r="D640" s="1"/>
  <c r="C640" s="1"/>
  <c r="J266" i="1"/>
  <c r="L266" s="1"/>
  <c r="E267" i="6" s="1"/>
  <c r="D267" s="1"/>
  <c r="B359" i="5" s="1"/>
  <c r="J23" i="1"/>
  <c r="L23" s="1"/>
  <c r="E28" i="6" s="1"/>
  <c r="D28" s="1"/>
  <c r="C28" s="1"/>
  <c r="J95" i="1"/>
  <c r="L95" s="1"/>
  <c r="E99" i="6" s="1"/>
  <c r="D99" s="1"/>
  <c r="B50" i="5" s="1"/>
  <c r="J160" i="1"/>
  <c r="L160" s="1"/>
  <c r="J225"/>
  <c r="L225" s="1"/>
  <c r="E226" i="6" s="1"/>
  <c r="D226" s="1"/>
  <c r="B173" i="5" s="1"/>
  <c r="J353" i="1"/>
  <c r="L353" s="1"/>
  <c r="E352" i="6" s="1"/>
  <c r="D352" s="1"/>
  <c r="B232" i="5" s="1"/>
  <c r="J422" i="1"/>
  <c r="L422" s="1"/>
  <c r="E421" i="6" s="1"/>
  <c r="D421" s="1"/>
  <c r="B304" i="5" s="1"/>
  <c r="J487" i="1"/>
  <c r="L487" s="1"/>
  <c r="E486" i="6" s="1"/>
  <c r="D486" s="1"/>
  <c r="C486" s="1"/>
  <c r="J550" i="1"/>
  <c r="L550" s="1"/>
  <c r="E549" i="6" s="1"/>
  <c r="D549" s="1"/>
  <c r="C549" s="1"/>
  <c r="J75" i="1"/>
  <c r="L75" s="1"/>
  <c r="E79" i="6" s="1"/>
  <c r="D79" s="1"/>
  <c r="B29" i="5" s="1"/>
  <c r="J391" i="1"/>
  <c r="L391" s="1"/>
  <c r="E390" i="6" s="1"/>
  <c r="D390" s="1"/>
  <c r="B272" i="5" s="1"/>
  <c r="J233" i="1"/>
  <c r="L233" s="1"/>
  <c r="E234" i="6" s="1"/>
  <c r="D234" s="1"/>
  <c r="B406" i="5" s="1"/>
  <c r="J297" i="1"/>
  <c r="L297" s="1"/>
  <c r="E298" i="6" s="1"/>
  <c r="D298" s="1"/>
  <c r="B390" i="5" s="1"/>
  <c r="J65" i="1"/>
  <c r="L65" s="1"/>
  <c r="E69" i="6" s="1"/>
  <c r="D69" s="1"/>
  <c r="C69" s="1"/>
  <c r="J130" i="1"/>
  <c r="L130" s="1"/>
  <c r="E132" i="6" s="1"/>
  <c r="D132" s="1"/>
  <c r="B20" i="5" s="1"/>
  <c r="J195" i="1"/>
  <c r="L195" s="1"/>
  <c r="E196" i="6" s="1"/>
  <c r="D196" s="1"/>
  <c r="B146" i="5" s="1"/>
  <c r="J325" i="1"/>
  <c r="L325" s="1"/>
  <c r="E326" i="6" s="1"/>
  <c r="D326" s="1"/>
  <c r="B197" i="5" s="1"/>
  <c r="J389" i="1"/>
  <c r="L389" s="1"/>
  <c r="E388" i="6" s="1"/>
  <c r="D388" s="1"/>
  <c r="B270" i="5" s="1"/>
  <c r="J458" i="1"/>
  <c r="L458" s="1"/>
  <c r="E457" i="6" s="1"/>
  <c r="D457" s="1"/>
  <c r="B339" i="5" s="1"/>
  <c r="J521" i="1"/>
  <c r="L521" s="1"/>
  <c r="E520" i="6" s="1"/>
  <c r="D520" s="1"/>
  <c r="C520" s="1"/>
  <c r="J586" i="1"/>
  <c r="L586" s="1"/>
  <c r="E585" i="6" s="1"/>
  <c r="D585" s="1"/>
  <c r="C585" s="1"/>
  <c r="J445" i="1"/>
  <c r="L445" s="1"/>
  <c r="E444" i="6" s="1"/>
  <c r="D444" s="1"/>
  <c r="B327" i="5" s="1"/>
  <c r="J565" i="1"/>
  <c r="L565" s="1"/>
  <c r="E564" i="6" s="1"/>
  <c r="D564" s="1"/>
  <c r="C564" s="1"/>
  <c r="J431" i="1"/>
  <c r="L431" s="1"/>
  <c r="E430" i="6" s="1"/>
  <c r="D430" s="1"/>
  <c r="C430" s="1"/>
  <c r="J116" i="1"/>
  <c r="L116" s="1"/>
  <c r="E120" i="6" s="1"/>
  <c r="D120" s="1"/>
  <c r="B75" i="5" s="1"/>
  <c r="J452" i="1"/>
  <c r="L452" s="1"/>
  <c r="E451" i="6" s="1"/>
  <c r="D451" s="1"/>
  <c r="C451" s="1"/>
  <c r="J236" i="1"/>
  <c r="L236" s="1"/>
  <c r="E237" i="6" s="1"/>
  <c r="D237" s="1"/>
  <c r="B409" i="5" s="1"/>
  <c r="J300" i="1"/>
  <c r="L300" s="1"/>
  <c r="E301" i="6" s="1"/>
  <c r="D301" s="1"/>
  <c r="B393" i="5" s="1"/>
  <c r="J68" i="1"/>
  <c r="L68" s="1"/>
  <c r="E72" i="6" s="1"/>
  <c r="D72" s="1"/>
  <c r="C72" s="1"/>
  <c r="J133" i="1"/>
  <c r="L133" s="1"/>
  <c r="E135" i="6" s="1"/>
  <c r="D135" s="1"/>
  <c r="B21" i="5" s="1"/>
  <c r="J199" i="1"/>
  <c r="L199" s="1"/>
  <c r="E200" i="6" s="1"/>
  <c r="D200" s="1"/>
  <c r="B156" i="5" s="1"/>
  <c r="J328" i="1"/>
  <c r="L328" s="1"/>
  <c r="E328" i="6" s="1"/>
  <c r="D328" s="1"/>
  <c r="C328" s="1"/>
  <c r="J408" i="1"/>
  <c r="L408" s="1"/>
  <c r="E407" i="6" s="1"/>
  <c r="D407" s="1"/>
  <c r="B292" i="5" s="1"/>
  <c r="J552" i="1"/>
  <c r="L552" s="1"/>
  <c r="E551" i="6" s="1"/>
  <c r="D551" s="1"/>
  <c r="C551" s="1"/>
  <c r="J295" i="1"/>
  <c r="L295" s="1"/>
  <c r="E296" i="6" s="1"/>
  <c r="D296" s="1"/>
  <c r="B388" i="5" s="1"/>
  <c r="J358" i="1"/>
  <c r="L358" s="1"/>
  <c r="E357" i="6" s="1"/>
  <c r="D357" s="1"/>
  <c r="B236" i="5" s="1"/>
  <c r="J58" i="1"/>
  <c r="L58" s="1"/>
  <c r="E62" i="6" s="1"/>
  <c r="D62" s="1"/>
  <c r="C62" s="1"/>
  <c r="J403" i="1"/>
  <c r="L403" s="1"/>
  <c r="E402" i="6" s="1"/>
  <c r="D402" s="1"/>
  <c r="B287" i="5" s="1"/>
  <c r="J616" i="1"/>
  <c r="L616" s="1"/>
  <c r="E615" i="6" s="1"/>
  <c r="D615" s="1"/>
  <c r="C615" s="1"/>
  <c r="J611" i="1"/>
  <c r="L611" s="1"/>
  <c r="E610" i="6" s="1"/>
  <c r="D610" s="1"/>
  <c r="C610" s="1"/>
  <c r="J639" i="1"/>
  <c r="L639" s="1"/>
  <c r="E638" i="6" s="1"/>
  <c r="D638" s="1"/>
  <c r="C638" s="1"/>
  <c r="J262" i="1"/>
  <c r="L262" s="1"/>
  <c r="E263" i="6" s="1"/>
  <c r="D263" s="1"/>
  <c r="B355" i="5" s="1"/>
  <c r="J18" i="1"/>
  <c r="L18" s="1"/>
  <c r="E21" i="6" s="1"/>
  <c r="D21" s="1"/>
  <c r="C21" s="1"/>
  <c r="J91" i="1"/>
  <c r="L91" s="1"/>
  <c r="E95" i="6" s="1"/>
  <c r="D95" s="1"/>
  <c r="B46" i="5" s="1"/>
  <c r="J156" i="1"/>
  <c r="L156" s="1"/>
  <c r="E158" i="6" s="1"/>
  <c r="D158" s="1"/>
  <c r="C158" s="1"/>
  <c r="J221" i="1"/>
  <c r="L221" s="1"/>
  <c r="E222" i="6" s="1"/>
  <c r="D222" s="1"/>
  <c r="B166" i="5" s="1"/>
  <c r="J350" i="1"/>
  <c r="L350" s="1"/>
  <c r="E349" i="6" s="1"/>
  <c r="D349" s="1"/>
  <c r="B226" i="5" s="1"/>
  <c r="J414" i="1"/>
  <c r="L414" s="1"/>
  <c r="E413" i="6" s="1"/>
  <c r="D413" s="1"/>
  <c r="B298" i="5" s="1"/>
  <c r="J483" i="1"/>
  <c r="L483" s="1"/>
  <c r="E482" i="6" s="1"/>
  <c r="D482" s="1"/>
  <c r="C482" s="1"/>
  <c r="J546" i="1"/>
  <c r="L546" s="1"/>
  <c r="E545" i="6" s="1"/>
  <c r="D545" s="1"/>
  <c r="C545" s="1"/>
  <c r="J3" i="1"/>
  <c r="L3" s="1"/>
  <c r="E6" i="6" s="1"/>
  <c r="D6" s="1"/>
  <c r="C6" s="1"/>
  <c r="J383" i="1"/>
  <c r="L383" s="1"/>
  <c r="E382" i="6" s="1"/>
  <c r="D382" s="1"/>
  <c r="B264" i="5" s="1"/>
  <c r="J87" i="1"/>
  <c r="L87" s="1"/>
  <c r="E91" i="6" s="1"/>
  <c r="D91" s="1"/>
  <c r="C91" s="1"/>
  <c r="J293" i="1"/>
  <c r="L293" s="1"/>
  <c r="E294" i="6" s="1"/>
  <c r="D294" s="1"/>
  <c r="B386" i="5" s="1"/>
  <c r="J60" i="1"/>
  <c r="L60" s="1"/>
  <c r="E64" i="6" s="1"/>
  <c r="D64" s="1"/>
  <c r="C64" s="1"/>
  <c r="J126" i="1"/>
  <c r="L126" s="1"/>
  <c r="E128" i="6" s="1"/>
  <c r="D128" s="1"/>
  <c r="B3" i="5" s="1"/>
  <c r="J191" i="1"/>
  <c r="L191" s="1"/>
  <c r="E192" i="6" s="1"/>
  <c r="D192" s="1"/>
  <c r="B142" i="5" s="1"/>
  <c r="J321" i="1"/>
  <c r="L321" s="1"/>
  <c r="E322" i="6" s="1"/>
  <c r="D322" s="1"/>
  <c r="B190" i="5" s="1"/>
  <c r="J385" i="1"/>
  <c r="L385" s="1"/>
  <c r="E384" i="6" s="1"/>
  <c r="D384" s="1"/>
  <c r="B266" i="5" s="1"/>
  <c r="J454" i="1"/>
  <c r="L454" s="1"/>
  <c r="E453" i="6" s="1"/>
  <c r="D453" s="1"/>
  <c r="B335" i="5" s="1"/>
  <c r="J518" i="1"/>
  <c r="L518" s="1"/>
  <c r="E517" i="6" s="1"/>
  <c r="D517" s="1"/>
  <c r="C517" s="1"/>
  <c r="J582" i="1"/>
  <c r="L582" s="1"/>
  <c r="E581" i="6" s="1"/>
  <c r="D581" s="1"/>
  <c r="C581" s="1"/>
  <c r="J441" i="1"/>
  <c r="L441" s="1"/>
  <c r="E440" i="6" s="1"/>
  <c r="D440" s="1"/>
  <c r="B316" i="5" s="1"/>
  <c r="J557" i="1"/>
  <c r="L557" s="1"/>
  <c r="E556" i="6" s="1"/>
  <c r="D556" s="1"/>
  <c r="C556" s="1"/>
  <c r="J299" i="1"/>
  <c r="L299" s="1"/>
  <c r="E300" i="6" s="1"/>
  <c r="D300" s="1"/>
  <c r="B392" i="5" s="1"/>
  <c r="J102" i="1"/>
  <c r="L102" s="1"/>
  <c r="E106" i="6" s="1"/>
  <c r="D106" s="1"/>
  <c r="C106" s="1"/>
  <c r="J436" i="1"/>
  <c r="L436" s="1"/>
  <c r="E435" i="6" s="1"/>
  <c r="D435" s="1"/>
  <c r="B318" i="5" s="1"/>
  <c r="J232" i="1"/>
  <c r="L232" s="1"/>
  <c r="E233" i="6" s="1"/>
  <c r="D233" s="1"/>
  <c r="B405" i="5" s="1"/>
  <c r="J296" i="1"/>
  <c r="L296" s="1"/>
  <c r="E297" i="6" s="1"/>
  <c r="D297" s="1"/>
  <c r="B389" i="5" s="1"/>
  <c r="J64" i="1"/>
  <c r="L64" s="1"/>
  <c r="E68" i="6" s="1"/>
  <c r="D68" s="1"/>
  <c r="C68" s="1"/>
  <c r="J129" i="1"/>
  <c r="L129" s="1"/>
  <c r="E131" i="6" s="1"/>
  <c r="D131" s="1"/>
  <c r="C131" s="1"/>
  <c r="J194" i="1"/>
  <c r="L194" s="1"/>
  <c r="E195" i="6" s="1"/>
  <c r="D195" s="1"/>
  <c r="B145" i="5" s="1"/>
  <c r="J324" i="1"/>
  <c r="L324" s="1"/>
  <c r="E325" i="6" s="1"/>
  <c r="D325" s="1"/>
  <c r="B196" i="5" s="1"/>
  <c r="J396" i="1"/>
  <c r="L396" s="1"/>
  <c r="E395" i="6" s="1"/>
  <c r="D395" s="1"/>
  <c r="B280" i="5" s="1"/>
  <c r="J544" i="1"/>
  <c r="L544" s="1"/>
  <c r="E543" i="6" s="1"/>
  <c r="D543" s="1"/>
  <c r="C543" s="1"/>
  <c r="J287" i="1"/>
  <c r="L287" s="1"/>
  <c r="E288" i="6" s="1"/>
  <c r="D288" s="1"/>
  <c r="B380" i="5" s="1"/>
  <c r="J343" i="1"/>
  <c r="L343" s="1"/>
  <c r="E342" i="6" s="1"/>
  <c r="D342" s="1"/>
  <c r="B216" i="5" s="1"/>
  <c r="J606" i="1"/>
  <c r="L606" s="1"/>
  <c r="E605" i="6" s="1"/>
  <c r="D605" s="1"/>
  <c r="C605" s="1"/>
  <c r="J387" i="1"/>
  <c r="L387" s="1"/>
  <c r="E386" i="6" s="1"/>
  <c r="D386" s="1"/>
  <c r="B268" i="5" s="1"/>
  <c r="J614" i="1"/>
  <c r="L614" s="1"/>
  <c r="E613" i="6" s="1"/>
  <c r="D613" s="1"/>
  <c r="C613" s="1"/>
  <c r="J642" i="1"/>
  <c r="L642" s="1"/>
  <c r="E641" i="6" s="1"/>
  <c r="D641" s="1"/>
  <c r="C641" s="1"/>
  <c r="J637" i="1"/>
  <c r="L637" s="1"/>
  <c r="E636" i="6" s="1"/>
  <c r="D636" s="1"/>
  <c r="C636" s="1"/>
  <c r="J258" i="1"/>
  <c r="L258" s="1"/>
  <c r="E259" i="6" s="1"/>
  <c r="D259" s="1"/>
  <c r="B431" i="5" s="1"/>
  <c r="J14" i="1"/>
  <c r="L14" s="1"/>
  <c r="E17" i="6" s="1"/>
  <c r="D17" s="1"/>
  <c r="C17" s="1"/>
  <c r="J86" i="1"/>
  <c r="L86" s="1"/>
  <c r="E90" i="6" s="1"/>
  <c r="D90" s="1"/>
  <c r="B18" i="5" s="1"/>
  <c r="J152" i="1"/>
  <c r="L152" s="1"/>
  <c r="E154" i="6" s="1"/>
  <c r="D154" s="1"/>
  <c r="C154" s="1"/>
  <c r="J217" i="1"/>
  <c r="L217" s="1"/>
  <c r="E218" i="6" s="1"/>
  <c r="D218" s="1"/>
  <c r="C218" s="1"/>
  <c r="J346" i="1"/>
  <c r="L346" s="1"/>
  <c r="E345" i="6" s="1"/>
  <c r="D345" s="1"/>
  <c r="B219" i="5" s="1"/>
  <c r="J410" i="1"/>
  <c r="L410" s="1"/>
  <c r="E409" i="6" s="1"/>
  <c r="D409" s="1"/>
  <c r="B294" i="5" s="1"/>
  <c r="J479" i="1"/>
  <c r="L479" s="1"/>
  <c r="E478" i="6" s="1"/>
  <c r="D478" s="1"/>
  <c r="C478" s="1"/>
  <c r="J542" i="1"/>
  <c r="L542" s="1"/>
  <c r="E541" i="6" s="1"/>
  <c r="D541" s="1"/>
  <c r="C541" s="1"/>
  <c r="J605" i="1"/>
  <c r="L605" s="1"/>
  <c r="E604" i="6" s="1"/>
  <c r="D604" s="1"/>
  <c r="C604" s="1"/>
  <c r="J366" i="1"/>
  <c r="L366" s="1"/>
  <c r="E365" i="6" s="1"/>
  <c r="D365" s="1"/>
  <c r="B248" i="5" s="1"/>
  <c r="J609" i="1"/>
  <c r="L609" s="1"/>
  <c r="E608" i="6" s="1"/>
  <c r="D608" s="1"/>
  <c r="C608" s="1"/>
  <c r="J289" i="1"/>
  <c r="L289" s="1"/>
  <c r="E290" i="6" s="1"/>
  <c r="D290" s="1"/>
  <c r="B382" i="5" s="1"/>
  <c r="J55" i="1"/>
  <c r="L55" s="1"/>
  <c r="E59" i="6" s="1"/>
  <c r="D59" s="1"/>
  <c r="C59" s="1"/>
  <c r="J122" i="1"/>
  <c r="L122" s="1"/>
  <c r="E23" i="6" s="1"/>
  <c r="D23" s="1"/>
  <c r="C23" s="1"/>
  <c r="J187" i="1"/>
  <c r="L187" s="1"/>
  <c r="E188" i="6" s="1"/>
  <c r="D188" s="1"/>
  <c r="B138" i="5" s="1"/>
  <c r="J317" i="1"/>
  <c r="L317" s="1"/>
  <c r="E318" i="6" s="1"/>
  <c r="D318" s="1"/>
  <c r="B183" i="5" s="1"/>
  <c r="J381" i="1"/>
  <c r="L381" s="1"/>
  <c r="E380" i="6" s="1"/>
  <c r="D380" s="1"/>
  <c r="B262" i="5" s="1"/>
  <c r="J450" i="1"/>
  <c r="L450" s="1"/>
  <c r="E449" i="6" s="1"/>
  <c r="D449" s="1"/>
  <c r="C449" s="1"/>
  <c r="J514" i="1"/>
  <c r="L514" s="1"/>
  <c r="E513" i="6" s="1"/>
  <c r="D513" s="1"/>
  <c r="C513" s="1"/>
  <c r="J578" i="1"/>
  <c r="L578" s="1"/>
  <c r="E577" i="6" s="1"/>
  <c r="D577" s="1"/>
  <c r="C577" s="1"/>
  <c r="J433" i="1"/>
  <c r="L433" s="1"/>
  <c r="E432" i="6" s="1"/>
  <c r="D432" s="1"/>
  <c r="B312" i="5" s="1"/>
  <c r="J548" i="1"/>
  <c r="L548" s="1"/>
  <c r="E547" i="6" s="1"/>
  <c r="D547" s="1"/>
  <c r="C547" s="1"/>
  <c r="J291" i="1"/>
  <c r="L291" s="1"/>
  <c r="E292" i="6" s="1"/>
  <c r="D292" s="1"/>
  <c r="B384" i="5" s="1"/>
  <c r="J88" i="1"/>
  <c r="L88" s="1"/>
  <c r="E92" i="6" s="1"/>
  <c r="D92" s="1"/>
  <c r="C92" s="1"/>
  <c r="J415" i="1"/>
  <c r="L415" s="1"/>
  <c r="E414" i="6" s="1"/>
  <c r="D414" s="1"/>
  <c r="B299" i="5" s="1"/>
  <c r="J6" i="1"/>
  <c r="L6" s="1"/>
  <c r="E9" i="6" s="1"/>
  <c r="D9" s="1"/>
  <c r="C9" s="1"/>
  <c r="J292" i="1"/>
  <c r="L292" s="1"/>
  <c r="E293" i="6" s="1"/>
  <c r="D293" s="1"/>
  <c r="B385" i="5" s="1"/>
  <c r="J59" i="1"/>
  <c r="L59" s="1"/>
  <c r="E63" i="6" s="1"/>
  <c r="D63" s="1"/>
  <c r="C63" s="1"/>
  <c r="J125" i="1"/>
  <c r="L125" s="1"/>
  <c r="E127" i="6" s="1"/>
  <c r="D127" s="1"/>
  <c r="B2" i="5" s="1"/>
  <c r="J190" i="1"/>
  <c r="L190" s="1"/>
  <c r="E191" i="6" s="1"/>
  <c r="D191" s="1"/>
  <c r="B141" i="5" s="1"/>
  <c r="J320" i="1"/>
  <c r="L320" s="1"/>
  <c r="E321" i="6" s="1"/>
  <c r="D321" s="1"/>
  <c r="B189" i="5" s="1"/>
  <c r="J388" i="1"/>
  <c r="L388" s="1"/>
  <c r="E387" i="6" s="1"/>
  <c r="D387" s="1"/>
  <c r="B269" i="5" s="1"/>
  <c r="J536" i="1"/>
  <c r="L536" s="1"/>
  <c r="E535" i="6" s="1"/>
  <c r="D535" s="1"/>
  <c r="B438" i="5" s="1"/>
  <c r="J279" i="1"/>
  <c r="L279" s="1"/>
  <c r="E280" i="6" s="1"/>
  <c r="D280" s="1"/>
  <c r="B372" i="5" s="1"/>
  <c r="J327" i="1"/>
  <c r="L327" s="1"/>
  <c r="J19"/>
  <c r="L19" s="1"/>
  <c r="E24" i="6" s="1"/>
  <c r="D24" s="1"/>
  <c r="C24" s="1"/>
  <c r="J370" i="1"/>
  <c r="L370" s="1"/>
  <c r="E369" i="6" s="1"/>
  <c r="D369" s="1"/>
  <c r="B251" i="5" s="1"/>
  <c r="J612" i="1"/>
  <c r="L612" s="1"/>
  <c r="E611" i="6" s="1"/>
  <c r="D611" s="1"/>
  <c r="C611" s="1"/>
  <c r="J640" i="1"/>
  <c r="L640" s="1"/>
  <c r="E639" i="6" s="1"/>
  <c r="D639" s="1"/>
  <c r="C639" s="1"/>
  <c r="J635" i="1"/>
  <c r="L635" s="1"/>
  <c r="E634" i="6" s="1"/>
  <c r="D634" s="1"/>
  <c r="C634" s="1"/>
  <c r="J254" i="1"/>
  <c r="L254" s="1"/>
  <c r="E255" i="6" s="1"/>
  <c r="D255" s="1"/>
  <c r="B427" i="5" s="1"/>
  <c r="J9" i="1"/>
  <c r="L9" s="1"/>
  <c r="E12" i="6" s="1"/>
  <c r="D12" s="1"/>
  <c r="C12" s="1"/>
  <c r="J82" i="1"/>
  <c r="L82" s="1"/>
  <c r="E86" i="6" s="1"/>
  <c r="D86" s="1"/>
  <c r="B14" i="5" s="1"/>
  <c r="J148" i="1"/>
  <c r="L148" s="1"/>
  <c r="E150" i="6" s="1"/>
  <c r="D150" s="1"/>
  <c r="C150" s="1"/>
  <c r="J213" i="1"/>
  <c r="L213" s="1"/>
  <c r="E214" i="6" s="1"/>
  <c r="D214" s="1"/>
  <c r="C214" s="1"/>
  <c r="J342" i="1"/>
  <c r="L342" s="1"/>
  <c r="E341" i="6" s="1"/>
  <c r="D341" s="1"/>
  <c r="B212" i="5" s="1"/>
  <c r="J406" i="1"/>
  <c r="L406" s="1"/>
  <c r="E405" i="6" s="1"/>
  <c r="D405" s="1"/>
  <c r="B290" i="5" s="1"/>
  <c r="J475" i="1"/>
  <c r="L475" s="1"/>
  <c r="E474" i="6" s="1"/>
  <c r="D474" s="1"/>
  <c r="C474" s="1"/>
  <c r="J538" i="1"/>
  <c r="L538" s="1"/>
  <c r="E537" i="6" s="1"/>
  <c r="D537" s="1"/>
  <c r="C537" s="1"/>
  <c r="J600" i="1"/>
  <c r="L600" s="1"/>
  <c r="E599" i="6" s="1"/>
  <c r="D599" s="1"/>
  <c r="C599" s="1"/>
  <c r="J351" i="1"/>
  <c r="L351" s="1"/>
  <c r="E350" i="6" s="1"/>
  <c r="D350" s="1"/>
  <c r="B227" i="5" s="1"/>
  <c r="J601" i="1"/>
  <c r="L601" s="1"/>
  <c r="E600" i="6" s="1"/>
  <c r="D600" s="1"/>
  <c r="C600" s="1"/>
  <c r="J285" i="1"/>
  <c r="L285" s="1"/>
  <c r="E286" i="6" s="1"/>
  <c r="D286" s="1"/>
  <c r="B378" i="5" s="1"/>
  <c r="J51" i="1"/>
  <c r="L51" s="1"/>
  <c r="E55" i="6" s="1"/>
  <c r="D55" s="1"/>
  <c r="C55" s="1"/>
  <c r="J118" i="1"/>
  <c r="L118" s="1"/>
  <c r="E122" i="6" s="1"/>
  <c r="D122" s="1"/>
  <c r="B80" i="5" s="1"/>
  <c r="J183" i="1"/>
  <c r="L183" s="1"/>
  <c r="E184" i="6" s="1"/>
  <c r="D184" s="1"/>
  <c r="B131" i="5" s="1"/>
  <c r="J314" i="1"/>
  <c r="L314" s="1"/>
  <c r="E315" i="6" s="1"/>
  <c r="D315" s="1"/>
  <c r="B180" i="5" s="1"/>
  <c r="J377" i="1"/>
  <c r="L377" s="1"/>
  <c r="E376" i="6" s="1"/>
  <c r="D376" s="1"/>
  <c r="C376" s="1"/>
  <c r="J446" i="1"/>
  <c r="L446" s="1"/>
  <c r="E445" i="6" s="1"/>
  <c r="D445" s="1"/>
  <c r="B328" i="5" s="1"/>
  <c r="J510" i="1"/>
  <c r="L510" s="1"/>
  <c r="E509" i="6" s="1"/>
  <c r="D509" s="1"/>
  <c r="C509" s="1"/>
  <c r="J574" i="1"/>
  <c r="L574" s="1"/>
  <c r="E573" i="6" s="1"/>
  <c r="D573" s="1"/>
  <c r="C573" s="1"/>
  <c r="J424" i="1"/>
  <c r="L424" s="1"/>
  <c r="E423" i="6" s="1"/>
  <c r="D423" s="1"/>
  <c r="B306" i="5" s="1"/>
  <c r="J540" i="1"/>
  <c r="L540" s="1"/>
  <c r="E539" i="6" s="1"/>
  <c r="D539" s="1"/>
  <c r="C539" s="1"/>
  <c r="J283" i="1"/>
  <c r="L283" s="1"/>
  <c r="E284" i="6" s="1"/>
  <c r="D284" s="1"/>
  <c r="B376" i="5" s="1"/>
  <c r="J79" i="1"/>
  <c r="L79" s="1"/>
  <c r="E83" i="6" s="1"/>
  <c r="D83" s="1"/>
  <c r="B33" i="5" s="1"/>
  <c r="J395" i="1"/>
  <c r="L395" s="1"/>
  <c r="E394" i="6" s="1"/>
  <c r="D394" s="1"/>
  <c r="B279" i="5" s="1"/>
  <c r="J554" i="1"/>
  <c r="L554" s="1"/>
  <c r="E553" i="6" s="1"/>
  <c r="D553" s="1"/>
  <c r="C553" s="1"/>
  <c r="J288" i="1"/>
  <c r="L288" s="1"/>
  <c r="E289" i="6" s="1"/>
  <c r="D289" s="1"/>
  <c r="B381" i="5" s="1"/>
  <c r="J54" i="1"/>
  <c r="L54" s="1"/>
  <c r="E58" i="6" s="1"/>
  <c r="D58" s="1"/>
  <c r="C58" s="1"/>
  <c r="J121" i="1"/>
  <c r="L121" s="1"/>
  <c r="E22" i="6" s="1"/>
  <c r="D22" s="1"/>
  <c r="C22" s="1"/>
  <c r="J186" i="1"/>
  <c r="L186" s="1"/>
  <c r="E187" i="6" s="1"/>
  <c r="D187" s="1"/>
  <c r="B137" i="5" s="1"/>
  <c r="J316" i="1"/>
  <c r="L316" s="1"/>
  <c r="E317" i="6" s="1"/>
  <c r="D317" s="1"/>
  <c r="B182" i="5" s="1"/>
  <c r="J384" i="1"/>
  <c r="L384" s="1"/>
  <c r="E383" i="6" s="1"/>
  <c r="D383" s="1"/>
  <c r="B265" i="5" s="1"/>
  <c r="J527" i="1"/>
  <c r="L527" s="1"/>
  <c r="E526" i="6" s="1"/>
  <c r="D526" s="1"/>
  <c r="C526" s="1"/>
  <c r="J275" i="1"/>
  <c r="L275" s="1"/>
  <c r="E276" i="6" s="1"/>
  <c r="D276" s="1"/>
  <c r="B368" i="5" s="1"/>
  <c r="J580" i="1"/>
  <c r="L580" s="1"/>
  <c r="E579" i="6" s="1"/>
  <c r="D579" s="1"/>
  <c r="C579" s="1"/>
  <c r="J354" i="1"/>
  <c r="L354" s="1"/>
  <c r="E353" i="6" s="1"/>
  <c r="D353" s="1"/>
  <c r="B233" i="5" s="1"/>
  <c r="E125" i="6" l="1"/>
  <c r="D125" s="1"/>
  <c r="E403"/>
  <c r="D403" s="1"/>
  <c r="E126"/>
  <c r="D126" s="1"/>
  <c r="E272"/>
  <c r="D272" s="1"/>
  <c r="B364" i="5" s="1"/>
  <c r="E266" i="6"/>
  <c r="D266" s="1"/>
  <c r="B358" i="5" s="1"/>
  <c r="E264" i="6"/>
  <c r="D264" s="1"/>
  <c r="B356" i="5" s="1"/>
  <c r="E66"/>
  <c r="H66" s="1"/>
  <c r="C116" i="6" s="1"/>
  <c r="E283" i="5"/>
  <c r="H289" s="1"/>
  <c r="C404" i="6" s="1"/>
  <c r="E428" i="5"/>
  <c r="E56"/>
  <c r="E420"/>
  <c r="E61"/>
  <c r="E180"/>
  <c r="H183" s="1"/>
  <c r="C318" i="6" s="1"/>
  <c r="E429" i="5"/>
  <c r="E314"/>
  <c r="E430"/>
  <c r="E188"/>
  <c r="E32"/>
  <c r="E344"/>
  <c r="H345" s="1"/>
  <c r="C460" i="6" s="1"/>
  <c r="E303" i="5"/>
  <c r="E47"/>
  <c r="E46"/>
  <c r="E419"/>
  <c r="E385"/>
  <c r="E91"/>
  <c r="E92"/>
  <c r="E431"/>
  <c r="E432"/>
  <c r="E166"/>
  <c r="E359" l="1"/>
  <c r="B288"/>
  <c r="E282" s="1"/>
  <c r="H288" s="1"/>
  <c r="C403" i="6"/>
  <c r="E376" i="5"/>
  <c r="B86"/>
  <c r="B87"/>
  <c r="E427"/>
  <c r="E421"/>
  <c r="E424"/>
  <c r="E422"/>
  <c r="E423"/>
  <c r="H319"/>
  <c r="C436" i="6" s="1"/>
  <c r="H304" i="5"/>
  <c r="C421" i="6" s="1"/>
  <c r="E418" i="5"/>
  <c r="E426"/>
  <c r="E425"/>
  <c r="E403"/>
  <c r="E417"/>
  <c r="E387"/>
  <c r="E392"/>
  <c r="E390"/>
  <c r="E382"/>
  <c r="E391"/>
  <c r="E377"/>
  <c r="E384"/>
  <c r="E389"/>
  <c r="E386"/>
  <c r="E393"/>
  <c r="E375"/>
  <c r="E388"/>
  <c r="E378"/>
  <c r="E383"/>
  <c r="E381"/>
  <c r="E379"/>
  <c r="E380"/>
  <c r="E3"/>
  <c r="E4"/>
  <c r="H6" s="1"/>
  <c r="C76" i="6" s="1"/>
  <c r="E103" i="5"/>
  <c r="E315"/>
  <c r="E364"/>
  <c r="E345"/>
  <c r="H348" s="1"/>
  <c r="C463" i="6" s="1"/>
  <c r="E304" i="5"/>
  <c r="E369"/>
  <c r="E202"/>
  <c r="E305"/>
  <c r="E224"/>
  <c r="E108"/>
  <c r="E114"/>
  <c r="H115" s="1"/>
  <c r="C168" i="6" s="1"/>
  <c r="E29" i="5"/>
  <c r="H29" s="1"/>
  <c r="C79" i="6" s="1"/>
  <c r="E262" i="5"/>
  <c r="E233"/>
  <c r="E216"/>
  <c r="E31"/>
  <c r="E346"/>
  <c r="H350" s="1"/>
  <c r="C465" i="6" s="1"/>
  <c r="E93" i="5"/>
  <c r="H94" s="1"/>
  <c r="C142" i="6" s="1"/>
  <c r="E67" i="5"/>
  <c r="H68" s="1"/>
  <c r="C114" i="6" s="1"/>
  <c r="H92" i="5"/>
  <c r="H91"/>
  <c r="C139" i="6" s="1"/>
  <c r="E95" i="5"/>
  <c r="E94"/>
  <c r="C140" i="6"/>
  <c r="E65" i="5"/>
  <c r="E50"/>
  <c r="H50" s="1"/>
  <c r="C99" i="6" s="1"/>
  <c r="E51" i="5"/>
  <c r="E19"/>
  <c r="E18"/>
  <c r="E17"/>
  <c r="E6"/>
  <c r="E7"/>
  <c r="E5"/>
  <c r="E150"/>
  <c r="E335"/>
  <c r="E179"/>
  <c r="H181" s="1"/>
  <c r="C316" i="6" s="1"/>
  <c r="E326" i="5"/>
  <c r="E247"/>
  <c r="E153"/>
  <c r="E313"/>
  <c r="E165"/>
  <c r="H166" s="1"/>
  <c r="C222" i="6" s="1"/>
  <c r="E135" i="5"/>
  <c r="E415"/>
  <c r="E72"/>
  <c r="H72" s="1"/>
  <c r="C117" i="6" s="1"/>
  <c r="E232" i="5"/>
  <c r="E210"/>
  <c r="E138"/>
  <c r="E367"/>
  <c r="E234"/>
  <c r="E334"/>
  <c r="E366"/>
  <c r="E286"/>
  <c r="H297" s="1"/>
  <c r="C412" i="6" s="1"/>
  <c r="E30" i="5"/>
  <c r="H30" s="1"/>
  <c r="C80" i="6" s="1"/>
  <c r="E279" i="5"/>
  <c r="H280" s="1"/>
  <c r="C395" i="6" s="1"/>
  <c r="E122" i="5"/>
  <c r="E355"/>
  <c r="E411"/>
  <c r="E217"/>
  <c r="E196"/>
  <c r="H197" s="1"/>
  <c r="C326" i="6" s="1"/>
  <c r="E265" i="5"/>
  <c r="E137"/>
  <c r="E121"/>
  <c r="E406"/>
  <c r="E45"/>
  <c r="H46" s="1"/>
  <c r="C95" i="6" s="1"/>
  <c r="E404" i="5"/>
  <c r="E368"/>
  <c r="E178"/>
  <c r="H179" s="1"/>
  <c r="C314" i="6" s="1"/>
  <c r="E235" i="5"/>
  <c r="E120"/>
  <c r="E223"/>
  <c r="E152"/>
  <c r="E281"/>
  <c r="H287" s="1"/>
  <c r="C402" i="6" s="1"/>
  <c r="E123" i="5"/>
  <c r="E195"/>
  <c r="H196" s="1"/>
  <c r="C325" i="6" s="1"/>
  <c r="E343" i="5"/>
  <c r="H343" s="1"/>
  <c r="C458" i="6" s="1"/>
  <c r="E263" i="5"/>
  <c r="E325"/>
  <c r="E280"/>
  <c r="H284" s="1"/>
  <c r="C399" i="6" s="1"/>
  <c r="E413" i="5"/>
  <c r="E249"/>
  <c r="E412"/>
  <c r="E248"/>
  <c r="E136"/>
  <c r="E284"/>
  <c r="H292" s="1"/>
  <c r="C407" i="6" s="1"/>
  <c r="E365" i="5"/>
  <c r="E407"/>
  <c r="E414"/>
  <c r="E79"/>
  <c r="H79" s="1"/>
  <c r="C121" i="6" s="1"/>
  <c r="E209" i="5"/>
  <c r="E361"/>
  <c r="E172"/>
  <c r="H173" s="1"/>
  <c r="C226" i="6" s="1"/>
  <c r="E15" i="5"/>
  <c r="H13" s="1"/>
  <c r="C85" i="6" s="1"/>
  <c r="E250" i="5"/>
  <c r="E16"/>
  <c r="H14" s="1"/>
  <c r="C86" i="6" s="1"/>
  <c r="E408" i="5"/>
  <c r="H318"/>
  <c r="C435" i="6" s="1"/>
  <c r="E151" i="5"/>
  <c r="H184"/>
  <c r="C319" i="6" s="1"/>
  <c r="H346" i="5"/>
  <c r="C461" i="6" s="1"/>
  <c r="H290" i="5"/>
  <c r="C405" i="6" s="1"/>
  <c r="E285" i="5"/>
  <c r="E438"/>
  <c r="H439" s="1"/>
  <c r="E203"/>
  <c r="E113"/>
  <c r="E177"/>
  <c r="E312"/>
  <c r="E60"/>
  <c r="E55"/>
  <c r="E264"/>
  <c r="E189"/>
  <c r="E225"/>
  <c r="H303"/>
  <c r="C420" i="6" s="1"/>
  <c r="H189" i="5"/>
  <c r="C321" i="6" s="1"/>
  <c r="H188" i="5"/>
  <c r="C320" i="6" s="1"/>
  <c r="H168" i="5"/>
  <c r="C224" i="6" s="1"/>
  <c r="H167" i="5"/>
  <c r="C223" i="6" s="1"/>
  <c r="E86" i="5" l="1"/>
  <c r="E87"/>
  <c r="H338"/>
  <c r="C456" i="6" s="1"/>
  <c r="H335" i="5"/>
  <c r="C453" i="6" s="1"/>
  <c r="H315" i="5"/>
  <c r="C439" i="6" s="1"/>
  <c r="H327" i="5"/>
  <c r="C444" i="6" s="1"/>
  <c r="H330" i="5"/>
  <c r="C447" i="6" s="1"/>
  <c r="H320" i="5"/>
  <c r="C437" i="6" s="1"/>
  <c r="H307" i="5"/>
  <c r="C424" i="6" s="1"/>
  <c r="H306" i="5"/>
  <c r="C423" i="6" s="1"/>
  <c r="H267" i="5"/>
  <c r="C385" i="6" s="1"/>
  <c r="H263" i="5"/>
  <c r="C381" i="6" s="1"/>
  <c r="H275" i="5"/>
  <c r="C393" i="6" s="1"/>
  <c r="H232" i="5"/>
  <c r="C352" i="6" s="1"/>
  <c r="H243" i="5"/>
  <c r="C363" i="6" s="1"/>
  <c r="H257" i="5"/>
  <c r="C374" i="6" s="1"/>
  <c r="H238" i="5"/>
  <c r="C355" i="6" s="1"/>
  <c r="H250" i="5"/>
  <c r="C368" i="6" s="1"/>
  <c r="H248" i="5"/>
  <c r="C365" i="6" s="1"/>
  <c r="H235" i="5"/>
  <c r="C356" i="6" s="1"/>
  <c r="H255" i="5"/>
  <c r="C372" i="6" s="1"/>
  <c r="H209" i="5"/>
  <c r="C338" i="6" s="1"/>
  <c r="H226" i="5"/>
  <c r="C349" i="6" s="1"/>
  <c r="H224" i="5"/>
  <c r="C347" i="6" s="1"/>
  <c r="H218" i="5"/>
  <c r="C344" i="6" s="1"/>
  <c r="H211" i="5"/>
  <c r="C340" i="6" s="1"/>
  <c r="H216" i="5"/>
  <c r="C342" i="6" s="1"/>
  <c r="H203" i="5"/>
  <c r="C335" i="6" s="1"/>
  <c r="H347" i="5"/>
  <c r="C462" i="6" s="1"/>
  <c r="H404" i="5"/>
  <c r="C232" i="6" s="1"/>
  <c r="H125" i="5"/>
  <c r="C175" i="6" s="1"/>
  <c r="H136" i="5"/>
  <c r="C186" i="6" s="1"/>
  <c r="H150" i="5"/>
  <c r="C179" i="6" s="1"/>
  <c r="H108" i="5"/>
  <c r="C164" i="6" s="1"/>
  <c r="H155" i="5"/>
  <c r="C199" i="6" s="1"/>
  <c r="H139" i="5"/>
  <c r="C189" i="6" s="1"/>
  <c r="H157" i="5"/>
  <c r="C201" i="6" s="1"/>
  <c r="H128" i="5"/>
  <c r="C178" i="6" s="1"/>
  <c r="H144" i="5"/>
  <c r="C194" i="6" s="1"/>
  <c r="H160" i="5"/>
  <c r="C204" i="6" s="1"/>
  <c r="H116" i="5"/>
  <c r="C169" i="6" s="1"/>
  <c r="H130" i="5"/>
  <c r="C183" i="6" s="1"/>
  <c r="H122" i="5"/>
  <c r="C172" i="6" s="1"/>
  <c r="H142" i="5"/>
  <c r="C192" i="6" s="1"/>
  <c r="H104" i="5"/>
  <c r="C163" i="6" s="1"/>
  <c r="H305" i="5"/>
  <c r="C422" i="6" s="1"/>
  <c r="H321" i="5"/>
  <c r="C438" i="6" s="1"/>
  <c r="H202" i="5"/>
  <c r="C334" i="6" s="1"/>
  <c r="H4" i="5"/>
  <c r="C129" i="6" s="1"/>
  <c r="H3" i="5"/>
  <c r="C128" i="6" s="1"/>
  <c r="H2" i="5"/>
  <c r="C127" i="6" s="1"/>
  <c r="H103" i="5"/>
  <c r="C162" i="6" s="1"/>
  <c r="H308" i="5"/>
  <c r="C425" i="6" s="1"/>
  <c r="H239" i="5"/>
  <c r="C359" i="6" s="1"/>
  <c r="H233" i="5"/>
  <c r="C353" i="6" s="1"/>
  <c r="H225" i="5"/>
  <c r="C348" i="6" s="1"/>
  <c r="H325" i="5"/>
  <c r="C442" i="6" s="1"/>
  <c r="H165" i="5"/>
  <c r="C221" i="6" s="1"/>
  <c r="H247" i="5"/>
  <c r="C364" i="6" s="1"/>
  <c r="H33" i="5"/>
  <c r="C83" i="6" s="1"/>
  <c r="H151" i="5"/>
  <c r="C180" i="6" s="1"/>
  <c r="H249" i="5"/>
  <c r="C366" i="6" s="1"/>
  <c r="H152" i="5"/>
  <c r="C181" i="6" s="1"/>
  <c r="H109" i="5"/>
  <c r="C165" i="6" s="1"/>
  <c r="H212" i="5"/>
  <c r="C341" i="6" s="1"/>
  <c r="H272" i="5"/>
  <c r="C390" i="6" s="1"/>
  <c r="H31" i="5"/>
  <c r="C81" i="6" s="1"/>
  <c r="H182" i="5"/>
  <c r="C317" i="6" s="1"/>
  <c r="H349" i="5"/>
  <c r="C464" i="6" s="1"/>
  <c r="H240" i="5"/>
  <c r="C360" i="6" s="1"/>
  <c r="H135" i="5"/>
  <c r="C185" i="6" s="1"/>
  <c r="H358" i="5"/>
  <c r="C266" i="6" s="1"/>
  <c r="H210" i="5"/>
  <c r="C339" i="6" s="1"/>
  <c r="H217" i="5"/>
  <c r="C343" i="6" s="1"/>
  <c r="H337" i="5"/>
  <c r="C455" i="6" s="1"/>
  <c r="H137" i="5"/>
  <c r="C187" i="6" s="1"/>
  <c r="H388" i="5"/>
  <c r="C296" i="6" s="1"/>
  <c r="H34" i="5"/>
  <c r="C84" i="6" s="1"/>
  <c r="H339" i="5"/>
  <c r="C457" i="6" s="1"/>
  <c r="H73" i="5"/>
  <c r="C118" i="6" s="1"/>
  <c r="H236" i="5"/>
  <c r="C357" i="6" s="1"/>
  <c r="H329" i="5"/>
  <c r="C446" i="6" s="1"/>
  <c r="H262" i="5"/>
  <c r="C380" i="6" s="1"/>
  <c r="H328" i="5"/>
  <c r="C445" i="6" s="1"/>
  <c r="H93" i="5"/>
  <c r="C141" i="6" s="1"/>
  <c r="H237" i="5"/>
  <c r="C358" i="6" s="1"/>
  <c r="H74" i="5"/>
  <c r="C119" i="6" s="1"/>
  <c r="H264" i="5"/>
  <c r="C382" i="6" s="1"/>
  <c r="H265" i="5"/>
  <c r="C383" i="6" s="1"/>
  <c r="H75" i="5"/>
  <c r="C120" i="6" s="1"/>
  <c r="H317" i="5"/>
  <c r="C441" i="6" s="1"/>
  <c r="H316" i="5"/>
  <c r="C440" i="6" s="1"/>
  <c r="H98" i="5"/>
  <c r="C146" i="6" s="1"/>
  <c r="H223" i="5"/>
  <c r="C346" i="6" s="1"/>
  <c r="H161" i="5"/>
  <c r="C205" i="6" s="1"/>
  <c r="H159" i="5"/>
  <c r="C203" i="6" s="1"/>
  <c r="H123" i="5"/>
  <c r="C173" i="6" s="1"/>
  <c r="H95" i="5"/>
  <c r="C143" i="6" s="1"/>
  <c r="H97" i="5"/>
  <c r="C145" i="6" s="1"/>
  <c r="H96" i="5"/>
  <c r="C144" i="6" s="1"/>
  <c r="H67" i="5"/>
  <c r="C113" i="6" s="1"/>
  <c r="H65" i="5"/>
  <c r="C115" i="6" s="1"/>
  <c r="H51" i="5"/>
  <c r="C100" i="6" s="1"/>
  <c r="H234" i="5"/>
  <c r="C354" i="6" s="1"/>
  <c r="H299" i="5"/>
  <c r="C414" i="6" s="1"/>
  <c r="H127" i="5"/>
  <c r="C177" i="6" s="1"/>
  <c r="H412" i="5"/>
  <c r="C240" i="6" s="1"/>
  <c r="H409" i="5"/>
  <c r="C237" i="6" s="1"/>
  <c r="H413" i="5"/>
  <c r="C241" i="6" s="1"/>
  <c r="H390" i="5"/>
  <c r="C298" i="6" s="1"/>
  <c r="H334" i="5"/>
  <c r="C452" i="6" s="1"/>
  <c r="H336" i="5"/>
  <c r="C454" i="6" s="1"/>
  <c r="H414" i="5"/>
  <c r="C242" i="6" s="1"/>
  <c r="H394" i="5"/>
  <c r="C302" i="6" s="1"/>
  <c r="H146" i="5"/>
  <c r="C196" i="6" s="1"/>
  <c r="H44" i="5"/>
  <c r="C93" i="6" s="1"/>
  <c r="H145" i="5"/>
  <c r="C195" i="6" s="1"/>
  <c r="H172" i="5"/>
  <c r="C225" i="6" s="1"/>
  <c r="H32" i="5"/>
  <c r="C82" i="6" s="1"/>
  <c r="H8" i="5"/>
  <c r="C78" i="6" s="1"/>
  <c r="H397" i="5"/>
  <c r="C305" i="6" s="1"/>
  <c r="H418" i="5"/>
  <c r="C246" i="6" s="1"/>
  <c r="H143" i="5"/>
  <c r="C193" i="6" s="1"/>
  <c r="H395" i="5"/>
  <c r="C303" i="6" s="1"/>
  <c r="H396" i="5"/>
  <c r="C304" i="6" s="1"/>
  <c r="H391" i="5"/>
  <c r="C299" i="6" s="1"/>
  <c r="H20" i="5"/>
  <c r="C132" i="6" s="1"/>
  <c r="H393" i="5"/>
  <c r="C301" i="6" s="1"/>
  <c r="H392" i="5"/>
  <c r="C300" i="6" s="1"/>
  <c r="H298" i="5"/>
  <c r="C413" i="6" s="1"/>
  <c r="H356" i="5"/>
  <c r="C264" i="6" s="1"/>
  <c r="H326" i="5"/>
  <c r="C443" i="6" s="1"/>
  <c r="H371" i="5"/>
  <c r="C279" i="6" s="1"/>
  <c r="H389" i="5"/>
  <c r="C297" i="6" s="1"/>
  <c r="H416" i="5"/>
  <c r="C244" i="6" s="1"/>
  <c r="H131" i="5"/>
  <c r="C184" i="6" s="1"/>
  <c r="H198" i="5"/>
  <c r="C327" i="6" s="1"/>
  <c r="H424" i="5"/>
  <c r="C252" i="6" s="1"/>
  <c r="H120" i="5"/>
  <c r="C170" i="6" s="1"/>
  <c r="H126" i="5"/>
  <c r="C176" i="6" s="1"/>
  <c r="H23" i="5"/>
  <c r="C136" i="6" s="1"/>
  <c r="H422" i="5"/>
  <c r="C250" i="6" s="1"/>
  <c r="H365" i="5"/>
  <c r="C273" i="6" s="1"/>
  <c r="H420" i="5"/>
  <c r="C248" i="6" s="1"/>
  <c r="H219" i="5"/>
  <c r="C345" i="6" s="1"/>
  <c r="H362" i="5"/>
  <c r="C270" i="6" s="1"/>
  <c r="H15" i="5"/>
  <c r="C87" i="6" s="1"/>
  <c r="H281" i="5"/>
  <c r="C396" i="6" s="1"/>
  <c r="H361" i="5"/>
  <c r="C269" i="6" s="1"/>
  <c r="H129" i="5"/>
  <c r="C182" i="6" s="1"/>
  <c r="H121" i="5"/>
  <c r="C171" i="6" s="1"/>
  <c r="H22" i="5"/>
  <c r="C133" i="6" s="1"/>
  <c r="H398" i="5"/>
  <c r="C306" i="6" s="1"/>
  <c r="H366" i="5"/>
  <c r="C274" i="6" s="1"/>
  <c r="H363" i="5"/>
  <c r="C271" i="6" s="1"/>
  <c r="H367" i="5"/>
  <c r="C275" i="6" s="1"/>
  <c r="H405" i="5"/>
  <c r="C233" i="6" s="1"/>
  <c r="H369" i="5"/>
  <c r="C277" i="6" s="1"/>
  <c r="H368" i="5"/>
  <c r="C276" i="6" s="1"/>
  <c r="H359" i="5"/>
  <c r="C267" i="6" s="1"/>
  <c r="H293" i="5"/>
  <c r="C408" i="6" s="1"/>
  <c r="H360" i="5"/>
  <c r="C268" i="6" s="1"/>
  <c r="H364" i="5"/>
  <c r="C272" i="6" s="1"/>
  <c r="H286" i="5"/>
  <c r="C401" i="6" s="1"/>
  <c r="H16" i="5"/>
  <c r="C88" i="6" s="1"/>
  <c r="H266" i="5"/>
  <c r="C384" i="6" s="1"/>
  <c r="H21" i="5"/>
  <c r="C135" i="6" s="1"/>
  <c r="H344" i="5"/>
  <c r="C459" i="6" s="1"/>
  <c r="H138" i="5"/>
  <c r="C188" i="6" s="1"/>
  <c r="H141" i="5"/>
  <c r="C191" i="6" s="1"/>
  <c r="H411" i="5"/>
  <c r="C239" i="6" s="1"/>
  <c r="H399" i="5"/>
  <c r="C307" i="6" s="1"/>
  <c r="H269" i="5"/>
  <c r="C387" i="6" s="1"/>
  <c r="H285" i="5"/>
  <c r="C400" i="6" s="1"/>
  <c r="H124" i="5"/>
  <c r="C174" i="6" s="1"/>
  <c r="H431" i="5"/>
  <c r="C259" i="6" s="1"/>
  <c r="H291" i="5"/>
  <c r="C406" i="6" s="1"/>
  <c r="H253" i="5"/>
  <c r="C367" i="6" s="1"/>
  <c r="H279" i="5"/>
  <c r="C394" i="6" s="1"/>
  <c r="H25" i="5"/>
  <c r="C138" i="6" s="1"/>
  <c r="H375" i="5"/>
  <c r="C283" i="6" s="1"/>
  <c r="H355" i="5"/>
  <c r="C263" i="6" s="1"/>
  <c r="H370" i="5"/>
  <c r="C278" i="6" s="1"/>
  <c r="H429" i="5"/>
  <c r="C257" i="6" s="1"/>
  <c r="H423" i="5"/>
  <c r="C251" i="6" s="1"/>
  <c r="H256" i="5"/>
  <c r="C373" i="6" s="1"/>
  <c r="H419" i="5"/>
  <c r="C247" i="6" s="1"/>
  <c r="H241" i="5"/>
  <c r="C361" i="6" s="1"/>
  <c r="H428" i="5"/>
  <c r="C256" i="6" s="1"/>
  <c r="H379" i="5"/>
  <c r="C287" i="6" s="1"/>
  <c r="H381" i="5"/>
  <c r="C289" i="6" s="1"/>
  <c r="H376" i="5"/>
  <c r="C284" i="6" s="1"/>
  <c r="H407" i="5"/>
  <c r="C235" i="6" s="1"/>
  <c r="H406" i="5"/>
  <c r="C234" i="6" s="1"/>
  <c r="H373" i="5"/>
  <c r="C281" i="6" s="1"/>
  <c r="H384" i="5"/>
  <c r="C292" i="6" s="1"/>
  <c r="H433" i="5"/>
  <c r="C261" i="6" s="1"/>
  <c r="H18" i="5"/>
  <c r="C90" i="6" s="1"/>
  <c r="H426" i="5"/>
  <c r="C254" i="6" s="1"/>
  <c r="H425" i="5"/>
  <c r="C253" i="6" s="1"/>
  <c r="H242" i="5"/>
  <c r="C362" i="6" s="1"/>
  <c r="H283" i="5"/>
  <c r="C398" i="6" s="1"/>
  <c r="H258" i="5"/>
  <c r="C375" i="6" s="1"/>
  <c r="H410" i="5"/>
  <c r="C238" i="6" s="1"/>
  <c r="H415" i="5"/>
  <c r="C243" i="6" s="1"/>
  <c r="H377" i="5"/>
  <c r="C285" i="6" s="1"/>
  <c r="H382" i="5"/>
  <c r="C290" i="6" s="1"/>
  <c r="H45" i="5"/>
  <c r="C94" i="6" s="1"/>
  <c r="H427" i="5"/>
  <c r="C255" i="6" s="1"/>
  <c r="H421" i="5"/>
  <c r="C249" i="6" s="1"/>
  <c r="H417" i="5"/>
  <c r="C245" i="6" s="1"/>
  <c r="H156" i="5"/>
  <c r="C200" i="6" s="1"/>
  <c r="H158" i="5"/>
  <c r="C202" i="6" s="1"/>
  <c r="H408" i="5"/>
  <c r="C236" i="6" s="1"/>
  <c r="H383" i="5"/>
  <c r="C291" i="6" s="1"/>
  <c r="H385" i="5"/>
  <c r="C293" i="6" s="1"/>
  <c r="H386" i="5"/>
  <c r="C294" i="6" s="1"/>
  <c r="H380" i="5"/>
  <c r="C288" i="6" s="1"/>
  <c r="H387" i="5"/>
  <c r="C295" i="6" s="1"/>
  <c r="H432" i="5"/>
  <c r="C260" i="6" s="1"/>
  <c r="H195" i="5"/>
  <c r="C324" i="6" s="1"/>
  <c r="H17" i="5"/>
  <c r="C89" i="6" s="1"/>
  <c r="H251" i="5"/>
  <c r="C369" i="6" s="1"/>
  <c r="H434" i="5"/>
  <c r="C262" i="6" s="1"/>
  <c r="H282" i="5"/>
  <c r="C397" i="6" s="1"/>
  <c r="H274" i="5"/>
  <c r="C392" i="6" s="1"/>
  <c r="H273" i="5"/>
  <c r="C391" i="6" s="1"/>
  <c r="H374" i="5"/>
  <c r="C282" i="6" s="1"/>
  <c r="H372" i="5"/>
  <c r="C280" i="6" s="1"/>
  <c r="H378" i="5"/>
  <c r="C286" i="6" s="1"/>
  <c r="H7" i="5"/>
  <c r="C77" i="6" s="1"/>
  <c r="H430" i="5"/>
  <c r="C258" i="6" s="1"/>
  <c r="H252" i="5"/>
  <c r="C370" i="6" s="1"/>
  <c r="H180" i="5"/>
  <c r="C315" i="6" s="1"/>
  <c r="H254" i="5"/>
  <c r="C371" i="6" s="1"/>
  <c r="H268" i="5"/>
  <c r="C386" i="6" s="1"/>
  <c r="H140" i="5"/>
  <c r="C190" i="6" s="1"/>
  <c r="H357" i="5"/>
  <c r="C265" i="6" s="1"/>
  <c r="H82" i="5"/>
  <c r="C124" i="6" s="1"/>
  <c r="H153" i="5"/>
  <c r="C197" i="6" s="1"/>
  <c r="H154" i="5"/>
  <c r="C198" i="6" s="1"/>
  <c r="H26" i="5"/>
  <c r="C134" i="6" s="1"/>
  <c r="H81" i="5"/>
  <c r="C123" i="6" s="1"/>
  <c r="H24" i="5"/>
  <c r="C137" i="6" s="1"/>
  <c r="H80" i="5"/>
  <c r="C122" i="6" s="1"/>
  <c r="H191" i="5"/>
  <c r="C323" i="6" s="1"/>
  <c r="H190" i="5"/>
  <c r="C322" i="6" s="1"/>
  <c r="H204" i="5"/>
  <c r="C336" i="6" s="1"/>
  <c r="H205" i="5"/>
  <c r="C337" i="6" s="1"/>
  <c r="H227" i="5"/>
  <c r="C350" i="6" s="1"/>
  <c r="H228" i="5"/>
  <c r="C351" i="6" s="1"/>
  <c r="H61" i="5"/>
  <c r="C104" i="6" s="1"/>
  <c r="H60" i="5"/>
  <c r="C103" i="6" s="1"/>
  <c r="H177" i="5"/>
  <c r="C312" i="6" s="1"/>
  <c r="H178" i="5"/>
  <c r="C313" i="6" s="1"/>
  <c r="H113" i="5"/>
  <c r="C166" i="6" s="1"/>
  <c r="H114" i="5"/>
  <c r="C167" i="6" s="1"/>
  <c r="H55" i="5"/>
  <c r="C101" i="6" s="1"/>
  <c r="H56" i="5"/>
  <c r="C102" i="6" s="1"/>
  <c r="H295" i="5"/>
  <c r="C410" i="6" s="1"/>
  <c r="H296" i="5"/>
  <c r="C411" i="6" s="1"/>
  <c r="H294" i="5"/>
  <c r="C409" i="6" s="1"/>
  <c r="H270" i="5"/>
  <c r="C388" i="6" s="1"/>
  <c r="H271" i="5"/>
  <c r="C389" i="6" s="1"/>
  <c r="H314" i="5"/>
  <c r="C434" i="6" s="1"/>
  <c r="H313" i="5"/>
  <c r="C433" i="6" s="1"/>
  <c r="H312" i="5"/>
  <c r="C432" i="6" s="1"/>
  <c r="H438" i="5"/>
  <c r="C535" i="6" s="1"/>
  <c r="C536"/>
  <c r="H87" i="5" l="1"/>
  <c r="C126" i="6" s="1"/>
  <c r="H86" i="5"/>
  <c r="C125" i="6" s="1"/>
</calcChain>
</file>

<file path=xl/sharedStrings.xml><?xml version="1.0" encoding="utf-8"?>
<sst xmlns="http://schemas.openxmlformats.org/spreadsheetml/2006/main" count="4527" uniqueCount="823">
  <si>
    <t>AP515</t>
  </si>
  <si>
    <t>AP217</t>
  </si>
  <si>
    <t>Storage Date</t>
  </si>
  <si>
    <t>Quantity</t>
  </si>
  <si>
    <t>Shipping Date</t>
  </si>
  <si>
    <t>Accumulate Storage</t>
  </si>
  <si>
    <t>Accumulate Shipping</t>
  </si>
  <si>
    <t>QTY on hand</t>
  </si>
  <si>
    <t>AP1001-WT</t>
  </si>
  <si>
    <t>AP170</t>
  </si>
  <si>
    <t>AP3688-2</t>
  </si>
  <si>
    <t>AP403A</t>
  </si>
  <si>
    <t>AP521</t>
  </si>
  <si>
    <t>AP5516B-BK-4</t>
  </si>
  <si>
    <t>AP5516C-WT-4</t>
  </si>
  <si>
    <t>AP6128C-5</t>
  </si>
  <si>
    <t>AP8119WB</t>
  </si>
  <si>
    <t>AP1002-WT</t>
  </si>
  <si>
    <t>AP1003-PU-BK</t>
  </si>
  <si>
    <t>SKU</t>
  </si>
  <si>
    <t>AP1006-WT</t>
  </si>
  <si>
    <t>AP545-BK</t>
  </si>
  <si>
    <t>AP999L</t>
  </si>
  <si>
    <t>AP540-BK</t>
  </si>
  <si>
    <t>AP541-BK</t>
  </si>
  <si>
    <t>AP416-BK</t>
  </si>
  <si>
    <t>AP6118A-SS-2</t>
  </si>
  <si>
    <t>AP1005-BK</t>
  </si>
  <si>
    <t>AP8090-BK</t>
  </si>
  <si>
    <t>AP8090-WT</t>
  </si>
  <si>
    <t>AP54802-NABK</t>
  </si>
  <si>
    <t>AP54802-NAGY</t>
  </si>
  <si>
    <t>AP54802-CHBK</t>
  </si>
  <si>
    <t>AP54802-CHGY</t>
  </si>
  <si>
    <t>AP54802-MHBK</t>
  </si>
  <si>
    <t>AP54802-EPBK</t>
  </si>
  <si>
    <t>AP1004-PU-BK</t>
  </si>
  <si>
    <t>AP5516B-WT-4</t>
  </si>
  <si>
    <t>AP5516B-GV-4</t>
  </si>
  <si>
    <t>AP5516C-GM-4</t>
  </si>
  <si>
    <t>AP5516C-GM-2</t>
  </si>
  <si>
    <t>AP1004-PU-WT</t>
  </si>
  <si>
    <t>AP5541-BK-2</t>
  </si>
  <si>
    <t>AP5541-WT-2</t>
  </si>
  <si>
    <t>AP5540-BK-2</t>
  </si>
  <si>
    <t>AP5540-WT-2</t>
  </si>
  <si>
    <t>AP5542-BK-2</t>
  </si>
  <si>
    <t>AP5543-BK-2</t>
  </si>
  <si>
    <t>AP5544-WT-2</t>
  </si>
  <si>
    <t>AP5544-BK-2</t>
  </si>
  <si>
    <t>AP3218-BK</t>
  </si>
  <si>
    <t>AP3218-WT</t>
  </si>
  <si>
    <t>AP3318-BK</t>
  </si>
  <si>
    <t>AP5516B-GM-2</t>
  </si>
  <si>
    <t>AP1005-WT</t>
  </si>
  <si>
    <t>AP5545-BK-2</t>
  </si>
  <si>
    <t>AP5545-WT-2</t>
  </si>
  <si>
    <t>AP5543-WT-2</t>
  </si>
  <si>
    <t>AP5542-WT-2</t>
  </si>
  <si>
    <t>AP5542A-BK-2</t>
  </si>
  <si>
    <t>AP5542A-WT-2</t>
  </si>
  <si>
    <t>AP6139A-BK-4</t>
  </si>
  <si>
    <t>AP6139A-WT-4</t>
  </si>
  <si>
    <t>AP227-PK</t>
  </si>
  <si>
    <t>AP227-ZB</t>
  </si>
  <si>
    <t>AP5516B-GM-4</t>
  </si>
  <si>
    <t>AP416-BY</t>
  </si>
  <si>
    <t>AP1003-PU-WT</t>
  </si>
  <si>
    <t>AP1006-BK</t>
  </si>
  <si>
    <t>AP6127LW</t>
  </si>
  <si>
    <t>AP102</t>
  </si>
  <si>
    <t>AP1001-BK</t>
  </si>
  <si>
    <t>AP1007-BK</t>
  </si>
  <si>
    <t>AP1007-WT</t>
  </si>
  <si>
    <t>AP11031B</t>
  </si>
  <si>
    <t>AP11031N</t>
  </si>
  <si>
    <t>AP11031W</t>
  </si>
  <si>
    <t>AP1861-BK</t>
  </si>
  <si>
    <t>AP3488-1-BK</t>
  </si>
  <si>
    <t>AP3488-2-BK</t>
  </si>
  <si>
    <t>AP3688-1</t>
  </si>
  <si>
    <t>AP3788-1</t>
  </si>
  <si>
    <t>AP404A</t>
  </si>
  <si>
    <t>AP4181-BK</t>
  </si>
  <si>
    <t>AP4181-BY</t>
  </si>
  <si>
    <t>AP430-BK-2</t>
  </si>
  <si>
    <t>AP430-BK-4</t>
  </si>
  <si>
    <t>AP430-BK-6</t>
  </si>
  <si>
    <t>AP430-WT-2</t>
  </si>
  <si>
    <t>AP430-WT-4</t>
  </si>
  <si>
    <t>AP430-WT-6</t>
  </si>
  <si>
    <t>AP5118A</t>
  </si>
  <si>
    <t>AP5118B</t>
  </si>
  <si>
    <t>AP516</t>
  </si>
  <si>
    <t>AP517</t>
  </si>
  <si>
    <t>AP540-BE</t>
  </si>
  <si>
    <t>AP541-BE</t>
  </si>
  <si>
    <t>AP5501TB</t>
  </si>
  <si>
    <t>AP5501TB-SM</t>
  </si>
  <si>
    <t>AP5501TC-SM</t>
  </si>
  <si>
    <t>AP5506BL</t>
  </si>
  <si>
    <t>AP5506CL</t>
  </si>
  <si>
    <t>AP5514B-BK-1</t>
  </si>
  <si>
    <t>AP5514B-BK-2</t>
  </si>
  <si>
    <t>AP5514B-WT-1</t>
  </si>
  <si>
    <t>AP5514B-WT-2</t>
  </si>
  <si>
    <t>AP5514C-BK-1</t>
  </si>
  <si>
    <t>AP5514C-BK-2</t>
  </si>
  <si>
    <t>AP5514C-WT-1</t>
  </si>
  <si>
    <t>AP5514C-WT-2</t>
  </si>
  <si>
    <t>AP5516B-BK-1</t>
  </si>
  <si>
    <t>AP5516B-BK-2</t>
  </si>
  <si>
    <t>AP5516B-GM-1</t>
  </si>
  <si>
    <t>AP5516B-GV-1</t>
  </si>
  <si>
    <t>AP5516B-GV-2</t>
  </si>
  <si>
    <t>AP5516-BK-1</t>
  </si>
  <si>
    <t>AP5516-BK-2</t>
  </si>
  <si>
    <t>AP5516-BK-4</t>
  </si>
  <si>
    <t>AP5516B-WT-1</t>
  </si>
  <si>
    <t>AP5516B-WT-2</t>
  </si>
  <si>
    <t>AP5516C-BK-2</t>
  </si>
  <si>
    <t>AP5516C-GV-2</t>
  </si>
  <si>
    <t>AP5516C-GV-4</t>
  </si>
  <si>
    <t>AP5516-GM-1</t>
  </si>
  <si>
    <t>AP5516-GV-1</t>
  </si>
  <si>
    <t>AP5516-GV-2</t>
  </si>
  <si>
    <t>AP5516-GV-4</t>
  </si>
  <si>
    <t>AP6101CL-CL-1</t>
  </si>
  <si>
    <t>AP6101CL-CL-2</t>
  </si>
  <si>
    <t>AP6101ML-2-BK</t>
  </si>
  <si>
    <t>AP6101ML-2-OR</t>
  </si>
  <si>
    <t>AP6101ML-2-RD</t>
  </si>
  <si>
    <t>AP6101ML-2-WT</t>
  </si>
  <si>
    <t>AP6102CL-CL-1</t>
  </si>
  <si>
    <t>AP6102CL-CL-2</t>
  </si>
  <si>
    <t>AP6102ML-2-BK</t>
  </si>
  <si>
    <t>AP6102ML-2-CL</t>
  </si>
  <si>
    <t>AP6102ML-2-GN</t>
  </si>
  <si>
    <t>AP6102ML-2-OR</t>
  </si>
  <si>
    <t>AP6102ML-2-RD</t>
  </si>
  <si>
    <t>AP6102ML-2-WT</t>
  </si>
  <si>
    <t>AP6102ML-4-BK</t>
  </si>
  <si>
    <t>AP6102ML-4-CL</t>
  </si>
  <si>
    <t>AP6102ML-4-GN</t>
  </si>
  <si>
    <t>AP6102ML-4-OR</t>
  </si>
  <si>
    <t>AP6102ML-4-RD</t>
  </si>
  <si>
    <t>AP6102ML-4-WT</t>
  </si>
  <si>
    <t>AP6102WD-4-BK</t>
  </si>
  <si>
    <t>AP6102WD-4-CL</t>
  </si>
  <si>
    <t>AP6102WD-4-GN</t>
  </si>
  <si>
    <t>AP6102WD-4-OR</t>
  </si>
  <si>
    <t>AP6102WD-4-RD</t>
  </si>
  <si>
    <t>AP6102WD-4-WT</t>
  </si>
  <si>
    <t>AP6102WD-6-BK</t>
  </si>
  <si>
    <t>AP6102WD-6-CL</t>
  </si>
  <si>
    <t>AP6102WD-6-GN</t>
  </si>
  <si>
    <t>AP6102WD-6-OR</t>
  </si>
  <si>
    <t>AP6102WD-6-RD</t>
  </si>
  <si>
    <t>AP6102WD-6-WT</t>
  </si>
  <si>
    <t>AP6106B</t>
  </si>
  <si>
    <t>AP6106R</t>
  </si>
  <si>
    <t>AP6108B</t>
  </si>
  <si>
    <t>AP6108B-2</t>
  </si>
  <si>
    <t>AP6108N</t>
  </si>
  <si>
    <t>AP6108W-2</t>
  </si>
  <si>
    <t>AP6109N</t>
  </si>
  <si>
    <t>AP6109N-2</t>
  </si>
  <si>
    <t>AP6109W</t>
  </si>
  <si>
    <t>AP6109W-2</t>
  </si>
  <si>
    <t>AP6110AN</t>
  </si>
  <si>
    <t>AP6110AN-2</t>
  </si>
  <si>
    <t>AP6110AW</t>
  </si>
  <si>
    <t>AP6110AW-2</t>
  </si>
  <si>
    <t>AP6118A-AL</t>
  </si>
  <si>
    <t>AP6118A-AL-2</t>
  </si>
  <si>
    <t>AP6118A-SS-1</t>
  </si>
  <si>
    <t>AP6118B-AL-2</t>
  </si>
  <si>
    <t>AP6118B-SS-1</t>
  </si>
  <si>
    <t>AP6118B-SS-2</t>
  </si>
  <si>
    <t>AP6118C-AL-2</t>
  </si>
  <si>
    <t>AP6118C-SS-1</t>
  </si>
  <si>
    <t>AP6118C-SS-2</t>
  </si>
  <si>
    <t>AP6118P-GY-2</t>
  </si>
  <si>
    <t>AP6118P-RD-1</t>
  </si>
  <si>
    <t>AP6118P-RD-2</t>
  </si>
  <si>
    <t>AP6118P-WT-1</t>
  </si>
  <si>
    <t>AP6118P-WT-2</t>
  </si>
  <si>
    <t>AP6126BK-2</t>
  </si>
  <si>
    <t>AP6126BK-4</t>
  </si>
  <si>
    <t>AP6126GM-2</t>
  </si>
  <si>
    <t>AP6126GM-4</t>
  </si>
  <si>
    <t>AP6126W</t>
  </si>
  <si>
    <t>AP6126WT-2</t>
  </si>
  <si>
    <t>AP6127DN</t>
  </si>
  <si>
    <t>AP6127LN</t>
  </si>
  <si>
    <t>AP6128B</t>
  </si>
  <si>
    <t>AP6128B-4</t>
  </si>
  <si>
    <t>AP6128B-5</t>
  </si>
  <si>
    <t>AP6128C-2</t>
  </si>
  <si>
    <t>AP6128C-4</t>
  </si>
  <si>
    <t>AP6128M-2</t>
  </si>
  <si>
    <t>AP6128W-1</t>
  </si>
  <si>
    <t>AP6128W-2</t>
  </si>
  <si>
    <t>AP6128W-4</t>
  </si>
  <si>
    <t>AP6128W-5</t>
  </si>
  <si>
    <t>AP6129BL</t>
  </si>
  <si>
    <t>AP6129BL-2</t>
  </si>
  <si>
    <t>AP6129BL-4</t>
  </si>
  <si>
    <t>AP6129C</t>
  </si>
  <si>
    <t>AP6129C-2</t>
  </si>
  <si>
    <t>AP6129C-4</t>
  </si>
  <si>
    <t>AP6129MSS</t>
  </si>
  <si>
    <t>AP6129PK</t>
  </si>
  <si>
    <t>AP6129PK-2</t>
  </si>
  <si>
    <t>AP6129W</t>
  </si>
  <si>
    <t>AP6129W-2</t>
  </si>
  <si>
    <t>AP6129W-4</t>
  </si>
  <si>
    <t>AP6135-MC-1</t>
  </si>
  <si>
    <t>AP6135-MC-2</t>
  </si>
  <si>
    <t>AP6138B-1</t>
  </si>
  <si>
    <t>AP6138B-2</t>
  </si>
  <si>
    <t>AP6138B-4</t>
  </si>
  <si>
    <t>AP6138D-B2</t>
  </si>
  <si>
    <t>AP6138W-1</t>
  </si>
  <si>
    <t>AP6138W-2</t>
  </si>
  <si>
    <t>AP6138W-4</t>
  </si>
  <si>
    <t>AP6139A-BK-1</t>
  </si>
  <si>
    <t>AP6139A-BK-2</t>
  </si>
  <si>
    <t>AP6139A-WT-1</t>
  </si>
  <si>
    <t>AP6139A-WT-2</t>
  </si>
  <si>
    <t>AP6142-CL-1</t>
  </si>
  <si>
    <t>AP6142-CL-2</t>
  </si>
  <si>
    <t>AP6142-CL-4</t>
  </si>
  <si>
    <t>AP6142-RD-1</t>
  </si>
  <si>
    <t>AP6142-RD-2</t>
  </si>
  <si>
    <t>AP6142-RD-4</t>
  </si>
  <si>
    <t>AP6146B-1</t>
  </si>
  <si>
    <t>AP6146B-2</t>
  </si>
  <si>
    <t>AP6146BAM-1</t>
  </si>
  <si>
    <t>AP6146C-1</t>
  </si>
  <si>
    <t>AP6146C-2</t>
  </si>
  <si>
    <t>AP6146CAM-1</t>
  </si>
  <si>
    <t>AP8088-2W</t>
  </si>
  <si>
    <t>AP8088-BK</t>
  </si>
  <si>
    <t>AP8088CB</t>
  </si>
  <si>
    <t>AP8088DB</t>
  </si>
  <si>
    <t>AP8088R</t>
  </si>
  <si>
    <t>AP8088-WT</t>
  </si>
  <si>
    <t>AP8089BK</t>
  </si>
  <si>
    <t>AP8089DB</t>
  </si>
  <si>
    <t>AP8089LB</t>
  </si>
  <si>
    <t>AP8089RD</t>
  </si>
  <si>
    <t>AP8089WT</t>
  </si>
  <si>
    <t>AP8090-CB</t>
  </si>
  <si>
    <t>AP8090-DB</t>
  </si>
  <si>
    <t>AP8090-OW</t>
  </si>
  <si>
    <t>AP8091BC</t>
  </si>
  <si>
    <t>AP8091WC</t>
  </si>
  <si>
    <t>AP8101BK-RW</t>
  </si>
  <si>
    <t>AP8101BK-WA</t>
  </si>
  <si>
    <t>AP8101DB-RW</t>
  </si>
  <si>
    <t>AP8101WT-RW</t>
  </si>
  <si>
    <t>APPBYX101</t>
  </si>
  <si>
    <t>APPBYX106</t>
  </si>
  <si>
    <t>BC122</t>
  </si>
  <si>
    <t>YB1130</t>
  </si>
  <si>
    <t>YB1132</t>
  </si>
  <si>
    <t>YB6030</t>
  </si>
  <si>
    <t>YB6032</t>
  </si>
  <si>
    <t>YC6131PU</t>
  </si>
  <si>
    <t>YC6381</t>
  </si>
  <si>
    <t>YG3214</t>
  </si>
  <si>
    <t>YG3295</t>
  </si>
  <si>
    <t>YG3385</t>
  </si>
  <si>
    <t>YM8340</t>
  </si>
  <si>
    <t>YM8740</t>
  </si>
  <si>
    <t>AP123A-BK</t>
  </si>
  <si>
    <t>AP1858</t>
  </si>
  <si>
    <t>AP226-ZB</t>
  </si>
  <si>
    <t>AP5516C-BK-4</t>
  </si>
  <si>
    <t>AP1004-HL-BK</t>
  </si>
  <si>
    <t>AP1004-HL-WT</t>
  </si>
  <si>
    <t>AP11002</t>
  </si>
  <si>
    <t>AP11004-NA</t>
  </si>
  <si>
    <t>AP11004-RW</t>
  </si>
  <si>
    <t>AP11004-WA</t>
  </si>
  <si>
    <t>AP11031C</t>
  </si>
  <si>
    <t>AP11032-ML-GT-R47</t>
  </si>
  <si>
    <t>AP11032-WT-L47</t>
  </si>
  <si>
    <t>AP11032-WT-L63</t>
  </si>
  <si>
    <t>AP11032-WT-R32</t>
  </si>
  <si>
    <t>AP11032-WT-R40</t>
  </si>
  <si>
    <t>AP11032-WT-R47</t>
  </si>
  <si>
    <t>AP11033-BT-BL-R24</t>
  </si>
  <si>
    <t>AP11033-BT-CL-R24</t>
  </si>
  <si>
    <t>AP11034-BT-BL-R28</t>
  </si>
  <si>
    <t>AP11034-BT-CL-R28</t>
  </si>
  <si>
    <t>AP120</t>
  </si>
  <si>
    <t>AP123B</t>
  </si>
  <si>
    <t>AP123B-BK</t>
  </si>
  <si>
    <t>AP127A-BK</t>
  </si>
  <si>
    <t>AP127A-CHB</t>
  </si>
  <si>
    <t>AP127A-EP</t>
  </si>
  <si>
    <t>AP127B-BK</t>
  </si>
  <si>
    <t>AP127B-CHB</t>
  </si>
  <si>
    <t>AP127B-EP</t>
  </si>
  <si>
    <t>AP1861</t>
  </si>
  <si>
    <t>AP193</t>
  </si>
  <si>
    <t>AP195</t>
  </si>
  <si>
    <t>AP1B800</t>
  </si>
  <si>
    <t>AP1B801</t>
  </si>
  <si>
    <t>AP1B809-BK</t>
  </si>
  <si>
    <t>AP1B809-BY</t>
  </si>
  <si>
    <t>AP1B915BL</t>
  </si>
  <si>
    <t>AP1B915BR</t>
  </si>
  <si>
    <t>AP202</t>
  </si>
  <si>
    <t>AP215</t>
  </si>
  <si>
    <t>AP216</t>
  </si>
  <si>
    <t>AP225-PK</t>
  </si>
  <si>
    <t>AP225-ZB</t>
  </si>
  <si>
    <t>AP226-PK</t>
  </si>
  <si>
    <t>AP235F</t>
  </si>
  <si>
    <t>AP235P</t>
  </si>
  <si>
    <t>AP236</t>
  </si>
  <si>
    <t>AP236P</t>
  </si>
  <si>
    <t>AP237F</t>
  </si>
  <si>
    <t>AP237P</t>
  </si>
  <si>
    <t>AP301</t>
  </si>
  <si>
    <t>AP308</t>
  </si>
  <si>
    <t>AP3118AM</t>
  </si>
  <si>
    <t>AP3118-NA</t>
  </si>
  <si>
    <t>AP381</t>
  </si>
  <si>
    <t>AP403BL</t>
  </si>
  <si>
    <t>ap412</t>
  </si>
  <si>
    <t>AP418-BK</t>
  </si>
  <si>
    <t>AP418-BY</t>
  </si>
  <si>
    <t>AP430-BK</t>
  </si>
  <si>
    <t>AP430-WT</t>
  </si>
  <si>
    <t>AP536A</t>
  </si>
  <si>
    <t>AP536PL</t>
  </si>
  <si>
    <t>AP536PN</t>
  </si>
  <si>
    <t>AP536PT</t>
  </si>
  <si>
    <t>AP537P</t>
  </si>
  <si>
    <t>AP545-BE</t>
  </si>
  <si>
    <t>AP546-BE</t>
  </si>
  <si>
    <t>AP546-BK</t>
  </si>
  <si>
    <t>AP548-BK</t>
  </si>
  <si>
    <t>AP5501C-CL</t>
  </si>
  <si>
    <t>AP5503</t>
  </si>
  <si>
    <t>AP5506RD</t>
  </si>
  <si>
    <t>AP5514BBB</t>
  </si>
  <si>
    <t>AP5516C-WT-2</t>
  </si>
  <si>
    <t>AP5516-GM-2</t>
  </si>
  <si>
    <t>AP5516-WT-1</t>
  </si>
  <si>
    <t>AP5516-WT-2</t>
  </si>
  <si>
    <t>AP5516-WT-4</t>
  </si>
  <si>
    <t>AP5519</t>
  </si>
  <si>
    <t>AP5546-BK</t>
  </si>
  <si>
    <t>AP5546-WT</t>
  </si>
  <si>
    <t>AP5547-BK</t>
  </si>
  <si>
    <t>AP570</t>
  </si>
  <si>
    <t>AP590</t>
  </si>
  <si>
    <t>AP5OSKH206</t>
  </si>
  <si>
    <t>AP5OSKH540</t>
  </si>
  <si>
    <t>AP6101</t>
  </si>
  <si>
    <t>AP6101ML-2-GN</t>
  </si>
  <si>
    <t>AP6101ML-4-BK</t>
  </si>
  <si>
    <t>AP6101ML-4-GN</t>
  </si>
  <si>
    <t>AP6101ML-4-OR</t>
  </si>
  <si>
    <t>AP6101ML-4-RD</t>
  </si>
  <si>
    <t>AP6101ML-4-WT</t>
  </si>
  <si>
    <t>AP6101WD-NA-BK-1</t>
  </si>
  <si>
    <t>AP6101WD-NA-BK-2</t>
  </si>
  <si>
    <t>AP6101WD-NA-BK-4</t>
  </si>
  <si>
    <t>AP6101WD-NA-GN-1</t>
  </si>
  <si>
    <t>AP6101WD-NA-GN-2</t>
  </si>
  <si>
    <t>AP6101WD-NA-GN-4</t>
  </si>
  <si>
    <t>AP6101WD-NA-OR-1</t>
  </si>
  <si>
    <t>AP6101WD-NA-OR-2</t>
  </si>
  <si>
    <t>AP6101WD-NA-OR-4</t>
  </si>
  <si>
    <t>AP6101WD-NA-RD-1</t>
  </si>
  <si>
    <t>AP6101WD-NA-RD-2</t>
  </si>
  <si>
    <t>AP6101WD-NA-RD-4</t>
  </si>
  <si>
    <t>AP6101WD-NA-WT-2</t>
  </si>
  <si>
    <t>AP6101WD-NA-WT-4</t>
  </si>
  <si>
    <t>AP6101WD-WA-BK-2</t>
  </si>
  <si>
    <t>AP6101WD-WA-GN-2</t>
  </si>
  <si>
    <t>AP6101WD-WA-OR-2</t>
  </si>
  <si>
    <t>AP6101WD-WA-RD-2</t>
  </si>
  <si>
    <t>AP6101WD-WA-WT-2</t>
  </si>
  <si>
    <t>AP6102WD-2-BK</t>
  </si>
  <si>
    <t>AP6102WD-2-CL</t>
  </si>
  <si>
    <t>AP6102WD-2-GN</t>
  </si>
  <si>
    <t>AP6102WD-2-RD</t>
  </si>
  <si>
    <t>AP6102WD-2-WT</t>
  </si>
  <si>
    <t>AP6102WD-WA-2-BK</t>
  </si>
  <si>
    <t>AP6102WD-WA-2-CL</t>
  </si>
  <si>
    <t>AP6102WD-WA-2-GN</t>
  </si>
  <si>
    <t>AP6102WD-WA-2-OR</t>
  </si>
  <si>
    <t>AP6102WD-WA-2-RD</t>
  </si>
  <si>
    <t>AP6102WD-WA-4-BK</t>
  </si>
  <si>
    <t>AP6102WD-WA-4-CL</t>
  </si>
  <si>
    <t>AP6102WD-WA-4-GN</t>
  </si>
  <si>
    <t>AP6102WD-WA-4-OR</t>
  </si>
  <si>
    <t>AP6102WD-WA-4-RD</t>
  </si>
  <si>
    <t>AP6102WD-WA-4-WT</t>
  </si>
  <si>
    <t>AP6106BG</t>
  </si>
  <si>
    <t>AP6106WT</t>
  </si>
  <si>
    <t>AP6108N-2</t>
  </si>
  <si>
    <t>AP6108W</t>
  </si>
  <si>
    <t>AP6108WN</t>
  </si>
  <si>
    <t>AP6108WN-2</t>
  </si>
  <si>
    <t>AP6114B</t>
  </si>
  <si>
    <t>AP6115B</t>
  </si>
  <si>
    <t>AP6115R</t>
  </si>
  <si>
    <t>AP6116B</t>
  </si>
  <si>
    <t>AP6116R</t>
  </si>
  <si>
    <t>AP6116W</t>
  </si>
  <si>
    <t>AP6118A</t>
  </si>
  <si>
    <t>AP6118B-AL-1</t>
  </si>
  <si>
    <t>AP6118C-AL-1</t>
  </si>
  <si>
    <t>AP6118P-GY-1</t>
  </si>
  <si>
    <t>AP6125B</t>
  </si>
  <si>
    <t>AP6125BK-2</t>
  </si>
  <si>
    <t>AP6125BK-4</t>
  </si>
  <si>
    <t>AP6125G</t>
  </si>
  <si>
    <t>AP6125GM</t>
  </si>
  <si>
    <t>AP6125GM-2</t>
  </si>
  <si>
    <t>AP6125GM-4</t>
  </si>
  <si>
    <t>AP6125GV-2</t>
  </si>
  <si>
    <t>AP6125GV-4</t>
  </si>
  <si>
    <t>AP6125W</t>
  </si>
  <si>
    <t>AP6125WT-2</t>
  </si>
  <si>
    <t>AP6125WT-4</t>
  </si>
  <si>
    <t>AP6126B</t>
  </si>
  <si>
    <t>AP6126B-1</t>
  </si>
  <si>
    <t>AP6126BK</t>
  </si>
  <si>
    <t>AP6126G</t>
  </si>
  <si>
    <t>AP6126GM</t>
  </si>
  <si>
    <t>AP6126GV</t>
  </si>
  <si>
    <t>AP6126GV-2</t>
  </si>
  <si>
    <t>AP6126GV-4</t>
  </si>
  <si>
    <t>AP6126WT</t>
  </si>
  <si>
    <t>AP6127DW</t>
  </si>
  <si>
    <t>AP6128B-2</t>
  </si>
  <si>
    <t>AP6128C</t>
  </si>
  <si>
    <t>AP6128M</t>
  </si>
  <si>
    <t>AP6128W</t>
  </si>
  <si>
    <t>AP6129B</t>
  </si>
  <si>
    <t>AP6129B-2</t>
  </si>
  <si>
    <t>AP6129B-4</t>
  </si>
  <si>
    <t>AP6129M</t>
  </si>
  <si>
    <t>AP6129MSS-2</t>
  </si>
  <si>
    <t>AP6129PK-4</t>
  </si>
  <si>
    <t>AP6129SM</t>
  </si>
  <si>
    <t>AP6129SM-2</t>
  </si>
  <si>
    <t>AP6131A-WA</t>
  </si>
  <si>
    <t>AP6133-GN</t>
  </si>
  <si>
    <t>AP6133-RD</t>
  </si>
  <si>
    <t>AP6133-WT</t>
  </si>
  <si>
    <t>AP6137D</t>
  </si>
  <si>
    <t>AP6138B</t>
  </si>
  <si>
    <t>AP6138W</t>
  </si>
  <si>
    <t>AP6141</t>
  </si>
  <si>
    <t>AP6141-BL</t>
  </si>
  <si>
    <t>AP6141-CL</t>
  </si>
  <si>
    <t>AP6146BM-2</t>
  </si>
  <si>
    <t>AP6146CM-2</t>
  </si>
  <si>
    <t>AP6147A</t>
  </si>
  <si>
    <t>AP6148</t>
  </si>
  <si>
    <t>AP6149</t>
  </si>
  <si>
    <t>AP6150A-W</t>
  </si>
  <si>
    <t>AP6150B-W</t>
  </si>
  <si>
    <t>AP6150S</t>
  </si>
  <si>
    <t>AP6152B</t>
  </si>
  <si>
    <t>AP616</t>
  </si>
  <si>
    <t>AP6160</t>
  </si>
  <si>
    <t>AP6161</t>
  </si>
  <si>
    <t>AP8088-2</t>
  </si>
  <si>
    <t>AP80889DB</t>
  </si>
  <si>
    <t>AP80889RD</t>
  </si>
  <si>
    <t>AP80889WT</t>
  </si>
  <si>
    <t>AP8088-BK-TG</t>
  </si>
  <si>
    <t>AP8088-OWT</t>
  </si>
  <si>
    <t>AP8088-WT-TG</t>
  </si>
  <si>
    <t>AP8090-83WT</t>
  </si>
  <si>
    <t>AP8090-RD</t>
  </si>
  <si>
    <t>AP8091CHC</t>
  </si>
  <si>
    <t>AP8091DBC</t>
  </si>
  <si>
    <t>AP8091IC</t>
  </si>
  <si>
    <t>AP8091WR</t>
  </si>
  <si>
    <t>AP8099-2-BK</t>
  </si>
  <si>
    <t>AP8099-2-WT</t>
  </si>
  <si>
    <t>AP8099-3-WT</t>
  </si>
  <si>
    <t>AP8101CB</t>
  </si>
  <si>
    <t>AP8101CB-RW</t>
  </si>
  <si>
    <t>AP8101DB-WA</t>
  </si>
  <si>
    <t>AP8101L-BK-RW</t>
  </si>
  <si>
    <t>AP8101L-BK-WA</t>
  </si>
  <si>
    <t>AP8101W</t>
  </si>
  <si>
    <t>AP8101WT-OAK</t>
  </si>
  <si>
    <t>AP8102-WT</t>
  </si>
  <si>
    <t>AP8103LW</t>
  </si>
  <si>
    <t>AP8103MN</t>
  </si>
  <si>
    <t>AP8103MW</t>
  </si>
  <si>
    <t>AP8103SN</t>
  </si>
  <si>
    <t>AP8103SW</t>
  </si>
  <si>
    <t>AP8103SW-2</t>
  </si>
  <si>
    <t>AP8104B</t>
  </si>
  <si>
    <t>AP8104CB</t>
  </si>
  <si>
    <t>AP8104W</t>
  </si>
  <si>
    <t>AP8105</t>
  </si>
  <si>
    <t>AP8107BWO</t>
  </si>
  <si>
    <t>AP8107RWO</t>
  </si>
  <si>
    <t>AP8107WWO</t>
  </si>
  <si>
    <t>AP8108-1BR</t>
  </si>
  <si>
    <t>AP8108-2BR</t>
  </si>
  <si>
    <t>AP8108-3BR</t>
  </si>
  <si>
    <t>AP8109BILR</t>
  </si>
  <si>
    <t>AP8109RIFC</t>
  </si>
  <si>
    <t>AP8115BC</t>
  </si>
  <si>
    <t>AP8115BR</t>
  </si>
  <si>
    <t>AP8115RC</t>
  </si>
  <si>
    <t>AP8115RR</t>
  </si>
  <si>
    <t>AP8116</t>
  </si>
  <si>
    <t>AP8117</t>
  </si>
  <si>
    <t>AP8119NB</t>
  </si>
  <si>
    <t>AP8119WW</t>
  </si>
  <si>
    <t>AP8128-3BK</t>
  </si>
  <si>
    <t>AP999P</t>
  </si>
  <si>
    <t>APST203</t>
  </si>
  <si>
    <t>APST205</t>
  </si>
  <si>
    <t>APYC4090</t>
  </si>
  <si>
    <t>B245-BK</t>
  </si>
  <si>
    <t>CFA01</t>
  </si>
  <si>
    <t>CFA01-BR</t>
  </si>
  <si>
    <t>CFF2080</t>
  </si>
  <si>
    <t>CFF2080-BR</t>
  </si>
  <si>
    <t>CFF32</t>
  </si>
  <si>
    <t>CFF32-BR</t>
  </si>
  <si>
    <t>CFH31</t>
  </si>
  <si>
    <t>CFH31-BR</t>
  </si>
  <si>
    <t>CFH74</t>
  </si>
  <si>
    <t>CFH74-BR</t>
  </si>
  <si>
    <t>CS307</t>
  </si>
  <si>
    <t>CSDM056</t>
  </si>
  <si>
    <t>CSF2030</t>
  </si>
  <si>
    <t>CSF2030-BR</t>
  </si>
  <si>
    <t>CSF56</t>
  </si>
  <si>
    <t>CSF56-BR</t>
  </si>
  <si>
    <t>CSFC09</t>
  </si>
  <si>
    <t>CSFC09-BR</t>
  </si>
  <si>
    <t>CSS-002</t>
  </si>
  <si>
    <t>CSSY-002</t>
  </si>
  <si>
    <t>CSSY-004</t>
  </si>
  <si>
    <t>CSSY-013</t>
  </si>
  <si>
    <t>CSSY-040</t>
  </si>
  <si>
    <t>CSSY-040-M+S</t>
  </si>
  <si>
    <t>CSSY-040-New</t>
  </si>
  <si>
    <t>CSSY-145</t>
  </si>
  <si>
    <t>CSSY-145-M+S</t>
  </si>
  <si>
    <t>CSSY-145-New</t>
  </si>
  <si>
    <t>YB6035</t>
  </si>
  <si>
    <t>YB6633</t>
  </si>
  <si>
    <t>YG3235</t>
  </si>
  <si>
    <t>CL LEG</t>
  </si>
  <si>
    <t>CL SEAT</t>
  </si>
  <si>
    <t>WD</t>
  </si>
  <si>
    <t>CL</t>
  </si>
  <si>
    <t>WA</t>
  </si>
  <si>
    <t>ML</t>
  </si>
  <si>
    <t>BK</t>
  </si>
  <si>
    <t>WT</t>
  </si>
  <si>
    <t>OR</t>
  </si>
  <si>
    <t>RD</t>
  </si>
  <si>
    <t>GN</t>
  </si>
  <si>
    <t>LEG</t>
  </si>
  <si>
    <t>SEAT</t>
  </si>
  <si>
    <t>no arms</t>
  </si>
  <si>
    <t>T arms</t>
  </si>
  <si>
    <t>Loop arms</t>
  </si>
  <si>
    <t>AP6102CL-CL</t>
  </si>
  <si>
    <t>AP6102ML-BK</t>
  </si>
  <si>
    <t>AP6102ML-CL</t>
  </si>
  <si>
    <t>AP6102ML-GN</t>
  </si>
  <si>
    <t>AP6102ML-OR</t>
  </si>
  <si>
    <t>AP6102ML-RD</t>
  </si>
  <si>
    <t>AP6102ML-WT</t>
  </si>
  <si>
    <t>AP6102WD-BK</t>
  </si>
  <si>
    <t>AP6102WD-CL</t>
  </si>
  <si>
    <t>AP6102WD-GN</t>
  </si>
  <si>
    <t>AP6102WD-OR</t>
  </si>
  <si>
    <t>AP6102WD-RD</t>
  </si>
  <si>
    <t>AP6102WD-WT</t>
  </si>
  <si>
    <t>AP6102WD-WA-BK</t>
  </si>
  <si>
    <t>AP6102WD-WA-CL</t>
  </si>
  <si>
    <t>AP6102WD-WA-GN</t>
  </si>
  <si>
    <t>AP6102WD-WA-OR</t>
  </si>
  <si>
    <t>AP6102WD-WA-RD</t>
  </si>
  <si>
    <t>ParentSKU</t>
  </si>
  <si>
    <t>Listing SKU</t>
  </si>
  <si>
    <t>Listing Quantity</t>
  </si>
  <si>
    <t>AP5516C-WT</t>
  </si>
  <si>
    <t>AP5516B-GV</t>
  </si>
  <si>
    <t>AP5516B-WT</t>
  </si>
  <si>
    <t>AP5544-WT</t>
  </si>
  <si>
    <t>AP5545-WT</t>
  </si>
  <si>
    <t>AP5516B-BK</t>
  </si>
  <si>
    <t>AP5540-WT</t>
  </si>
  <si>
    <t>AP6118A-SS</t>
  </si>
  <si>
    <t>AP5542-BK</t>
  </si>
  <si>
    <t>AP6139A-BK</t>
  </si>
  <si>
    <t>AP5544-BK</t>
  </si>
  <si>
    <t>AP6139A-WT</t>
  </si>
  <si>
    <t>AP3688</t>
  </si>
  <si>
    <t>AP5516B-GM</t>
  </si>
  <si>
    <t>AP5541-WT</t>
  </si>
  <si>
    <t>AP5542A-WT</t>
  </si>
  <si>
    <t>AP5516C-GM</t>
  </si>
  <si>
    <t>AP5541-BK</t>
  </si>
  <si>
    <t>AP5542A-BK</t>
  </si>
  <si>
    <t>AP5543-BK</t>
  </si>
  <si>
    <t>AP5540-BK</t>
  </si>
  <si>
    <t>AP5545-BK</t>
  </si>
  <si>
    <t>AP6118B-SS</t>
  </si>
  <si>
    <t>AP3488-BK</t>
  </si>
  <si>
    <t>AP1B915-BL</t>
  </si>
  <si>
    <t>AP1B915-BR</t>
  </si>
  <si>
    <t>AP3788</t>
  </si>
  <si>
    <t>AP5514B-BK</t>
  </si>
  <si>
    <t>AP5514B-WT</t>
  </si>
  <si>
    <t>AP5514C-BK</t>
  </si>
  <si>
    <t>AP5514C-WT</t>
  </si>
  <si>
    <t>AP5516-BK</t>
  </si>
  <si>
    <t>AP5516C-BK</t>
  </si>
  <si>
    <t>AP5516C-GV</t>
  </si>
  <si>
    <t>AP5516-GM</t>
  </si>
  <si>
    <t>AP5516-GV</t>
  </si>
  <si>
    <t>AP5516-WT</t>
  </si>
  <si>
    <t>AP5542-WT</t>
  </si>
  <si>
    <t>AP5543-WT</t>
  </si>
  <si>
    <t>AP6101CL-CL</t>
  </si>
  <si>
    <t>AP6101ML-BK</t>
  </si>
  <si>
    <t>AP6101ML-GN</t>
  </si>
  <si>
    <t>AP6101ML-OR</t>
  </si>
  <si>
    <t>AP6101ML-RD</t>
  </si>
  <si>
    <t>AP6101ML-WT</t>
  </si>
  <si>
    <t>AP6101WD-NA-BK</t>
  </si>
  <si>
    <t>AP6101WD-NA-GN</t>
  </si>
  <si>
    <t>AP6101WD-NA-OR</t>
  </si>
  <si>
    <t>AP6101WD-NA-RD</t>
  </si>
  <si>
    <t>AP6101WD-NA-WT</t>
  </si>
  <si>
    <t>AP6101WD-WA-BK</t>
  </si>
  <si>
    <t>AP6101WD-WA-GN</t>
  </si>
  <si>
    <t>AP6101WD-WA-OR</t>
  </si>
  <si>
    <t>AP6101WD-WA-RD</t>
  </si>
  <si>
    <t>AP6101WD-WA-WT</t>
  </si>
  <si>
    <t>AP6102WD-WA-WT</t>
  </si>
  <si>
    <t>AP6118B-AL</t>
  </si>
  <si>
    <t>AP6118C-AL</t>
  </si>
  <si>
    <t>AP6118C-SS</t>
  </si>
  <si>
    <t>AP6118P-GY</t>
  </si>
  <si>
    <t>AP6118P-RD</t>
  </si>
  <si>
    <t>AP6118P-WT</t>
  </si>
  <si>
    <t>AP6125BK</t>
  </si>
  <si>
    <t>AP6125GV</t>
  </si>
  <si>
    <t>AP6125WT</t>
  </si>
  <si>
    <t>AP6135-MC</t>
  </si>
  <si>
    <t>AP6142-CL</t>
  </si>
  <si>
    <t>AP6142-RD</t>
  </si>
  <si>
    <t>AP6146B</t>
  </si>
  <si>
    <t>AP6146BAM</t>
  </si>
  <si>
    <t>AP6146BM</t>
  </si>
  <si>
    <t>AP6146C</t>
  </si>
  <si>
    <t>AP6146CAM</t>
  </si>
  <si>
    <t>AP6146CM</t>
  </si>
  <si>
    <t>AP8088</t>
  </si>
  <si>
    <t>AP8108-BR</t>
  </si>
  <si>
    <t>YB6635</t>
  </si>
  <si>
    <t>AP3788-2</t>
  </si>
  <si>
    <t>AP5516C-BK-1</t>
  </si>
  <si>
    <t>AP5516C-GM-1</t>
  </si>
  <si>
    <t>AP5516C-GV-1</t>
  </si>
  <si>
    <t>AP5516C-WT-1</t>
  </si>
  <si>
    <t>AP5516-GM-4</t>
  </si>
  <si>
    <t>AP5546-BK-2</t>
  </si>
  <si>
    <t>AP5546-WT-2</t>
  </si>
  <si>
    <t>AP5547-BK-2</t>
  </si>
  <si>
    <t>AP6138D-W1</t>
  </si>
  <si>
    <t>AP6138D-W2</t>
  </si>
  <si>
    <t>AP3118</t>
  </si>
  <si>
    <t>AP6129SM-4</t>
  </si>
  <si>
    <t>AP1003-HL-BK</t>
  </si>
  <si>
    <t>1SKU</t>
  </si>
  <si>
    <t>AP1861-BB</t>
  </si>
  <si>
    <t>AP536</t>
  </si>
  <si>
    <t>AP400</t>
  </si>
  <si>
    <t>AP991</t>
  </si>
  <si>
    <t>AP6126WT-4</t>
  </si>
  <si>
    <t>AP6102CL-CL-4</t>
  </si>
  <si>
    <t>AP198</t>
  </si>
  <si>
    <t>AP6135-RD-2</t>
  </si>
  <si>
    <t>AP6135-RD</t>
  </si>
  <si>
    <t>AP6135-BK</t>
  </si>
  <si>
    <t>AP6135-BK-2</t>
  </si>
  <si>
    <t>AP8099-3-BK</t>
  </si>
  <si>
    <t>AP201</t>
  </si>
  <si>
    <t>AP6162-GY</t>
  </si>
  <si>
    <t>AP11024</t>
  </si>
  <si>
    <t>AP11030</t>
  </si>
  <si>
    <t>AP11031DW</t>
  </si>
  <si>
    <t>AP188A-BK</t>
  </si>
  <si>
    <t>AP188A-WT</t>
  </si>
  <si>
    <t>AP188B-WT</t>
  </si>
  <si>
    <t>AP197</t>
  </si>
  <si>
    <t>AP527</t>
  </si>
  <si>
    <t>AP6102WD-2-OR</t>
  </si>
  <si>
    <t>AP6102WD-WA-2-WT</t>
  </si>
  <si>
    <t>AP6115W</t>
  </si>
  <si>
    <t>AP8088-2DB</t>
  </si>
  <si>
    <t>AP8088-3B</t>
  </si>
  <si>
    <t>AP8088-3DB</t>
  </si>
  <si>
    <t>AP8088-3W</t>
  </si>
  <si>
    <t>AP8104NC</t>
  </si>
  <si>
    <t>AP6131C-WA</t>
  </si>
  <si>
    <t>AP6137B</t>
  </si>
  <si>
    <t>AP6137C</t>
  </si>
  <si>
    <t>AP6137CH</t>
  </si>
  <si>
    <t>AP6137R</t>
  </si>
  <si>
    <t>AP6137W</t>
  </si>
  <si>
    <t>AP6138D-B1</t>
  </si>
  <si>
    <t>AP6141-RD</t>
  </si>
  <si>
    <t>AP6147B</t>
  </si>
  <si>
    <t>AP80889BK</t>
  </si>
  <si>
    <t>AP8102-BK</t>
  </si>
  <si>
    <t>AP8104DB</t>
  </si>
  <si>
    <t>AP8106BF</t>
  </si>
  <si>
    <t>AP8106BL</t>
  </si>
  <si>
    <t>AP8106DBL</t>
  </si>
  <si>
    <t>AP8106OF</t>
  </si>
  <si>
    <t>AP8106RF</t>
  </si>
  <si>
    <t>AP8106WF</t>
  </si>
  <si>
    <t>AP8106WL</t>
  </si>
  <si>
    <t>AP8108-1DR</t>
  </si>
  <si>
    <t>AP8108-1WR</t>
  </si>
  <si>
    <t>AP8108-2DBR</t>
  </si>
  <si>
    <t>AP8108-2WR</t>
  </si>
  <si>
    <t>AP8108-3DBR</t>
  </si>
  <si>
    <t>AP8108-3WR</t>
  </si>
  <si>
    <t>AP8108B</t>
  </si>
  <si>
    <t>AP8108B-WA</t>
  </si>
  <si>
    <t>AP8109BFC</t>
  </si>
  <si>
    <t>AP8109BFR</t>
  </si>
  <si>
    <t>AP8109BIFC</t>
  </si>
  <si>
    <t>AP8109RFC</t>
  </si>
  <si>
    <t>AP8109RFR</t>
  </si>
  <si>
    <t>AP8109RILR</t>
  </si>
  <si>
    <t>AP8119NW</t>
  </si>
  <si>
    <t>AP990</t>
  </si>
  <si>
    <t>APPBYX122</t>
  </si>
  <si>
    <t>AP8118</t>
  </si>
  <si>
    <t>T-Arms</t>
  </si>
  <si>
    <t>Loop Arms</t>
  </si>
  <si>
    <t>Body</t>
  </si>
  <si>
    <t>AP1008-BK</t>
  </si>
  <si>
    <t>AP6135-BK-1</t>
  </si>
  <si>
    <t>AP6135-RD-1</t>
  </si>
  <si>
    <t>Footring</t>
  </si>
  <si>
    <t>AP537F</t>
  </si>
  <si>
    <t>AP535F</t>
  </si>
  <si>
    <t>Fabric Body</t>
  </si>
  <si>
    <t>Leatherete Body</t>
  </si>
  <si>
    <t>Arms</t>
  </si>
  <si>
    <t>Headrest</t>
  </si>
  <si>
    <t>Number of Sets</t>
  </si>
  <si>
    <t>Parts name</t>
  </si>
  <si>
    <t>SKUs</t>
  </si>
  <si>
    <t>AP6129BK</t>
  </si>
  <si>
    <t>AP6129CL</t>
  </si>
  <si>
    <t>AP6129WT</t>
  </si>
  <si>
    <t>AP6142B</t>
  </si>
  <si>
    <t>AP6142BAM(BM)</t>
  </si>
  <si>
    <t>AP6142C</t>
  </si>
  <si>
    <t>AP6142CAM(CM)</t>
  </si>
  <si>
    <t>AP535</t>
  </si>
  <si>
    <t>AP540 &amp; AP541 shares</t>
  </si>
  <si>
    <t>AP545 &amp; AP546 Shares</t>
  </si>
  <si>
    <t>Caster Wheels</t>
  </si>
  <si>
    <t>Adjusted Arm</t>
  </si>
  <si>
    <t>Fixed Arm</t>
  </si>
  <si>
    <t xml:space="preserve">New Inventory Excel Sheet
Does not differenticate Warehouse A &amp; B this excel sheet count them as just Default Warehouse </t>
  </si>
  <si>
    <t>Actual Quanity</t>
  </si>
  <si>
    <t>AP1008-WT</t>
  </si>
  <si>
    <t>T-ARMS separate</t>
  </si>
  <si>
    <t>Loop Arms separate</t>
  </si>
  <si>
    <t>Footring Separate</t>
  </si>
  <si>
    <t>Metal Leg Spare</t>
  </si>
  <si>
    <t>Walnut Leg Spare</t>
  </si>
  <si>
    <t>Natural Leg Spare</t>
  </si>
  <si>
    <t>????</t>
  </si>
  <si>
    <t>ABF</t>
  </si>
  <si>
    <t>Body-21s</t>
  </si>
  <si>
    <t>Body-51s</t>
  </si>
  <si>
    <t>AP1002-BK</t>
  </si>
  <si>
    <t>AP6138D-B</t>
  </si>
  <si>
    <t>AP6138D-W</t>
  </si>
  <si>
    <t>CSSY-145-NEW</t>
  </si>
  <si>
    <t>AP6102-BK-10-SEAT</t>
  </si>
  <si>
    <t>AP6102-GN-10-SEAT</t>
  </si>
  <si>
    <t>CSSY-002-NEW</t>
  </si>
  <si>
    <t>CSSY-040-NEW</t>
  </si>
  <si>
    <t>AP6110NA-2</t>
  </si>
  <si>
    <t>Warehouse A</t>
  </si>
  <si>
    <t>Warehouse B</t>
  </si>
  <si>
    <t>BQ-RD-1</t>
  </si>
  <si>
    <t>BQ-AP-1</t>
  </si>
  <si>
    <t>BQ-X-1</t>
  </si>
  <si>
    <t>AP11035-AH-BT-BL-R24</t>
  </si>
  <si>
    <t>AP11036-AH-BT-BL-R28</t>
  </si>
  <si>
    <t>AP1188-BK-2</t>
  </si>
  <si>
    <t>AP236F</t>
  </si>
  <si>
    <t>AP11031-NA</t>
  </si>
  <si>
    <t>AP6101ML-WT-2</t>
  </si>
</sst>
</file>

<file path=xl/styles.xml><?xml version="1.0" encoding="utf-8"?>
<styleSheet xmlns="http://schemas.openxmlformats.org/spreadsheetml/2006/main">
  <numFmts count="1">
    <numFmt numFmtId="164" formatCode="m/d;@"/>
  </numFmts>
  <fonts count="30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6"/>
      <name val="Calibri"/>
      <family val="2"/>
      <scheme val="minor"/>
    </font>
    <font>
      <sz val="16"/>
      <color rgb="FF00B0F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6"/>
      <color rgb="FFC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7">
    <xf numFmtId="0" fontId="0" fillId="0" borderId="0"/>
    <xf numFmtId="0" fontId="13" fillId="0" borderId="0" applyNumberFormat="0" applyFill="0" applyBorder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7" fillId="6" borderId="0" applyNumberFormat="0" applyBorder="0" applyAlignment="0" applyProtection="0"/>
    <xf numFmtId="0" fontId="18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5" applyNumberFormat="0" applyAlignment="0" applyProtection="0"/>
    <xf numFmtId="0" fontId="21" fillId="10" borderId="6" applyNumberFormat="0" applyAlignment="0" applyProtection="0"/>
    <xf numFmtId="0" fontId="22" fillId="10" borderId="5" applyNumberFormat="0" applyAlignment="0" applyProtection="0"/>
    <xf numFmtId="0" fontId="23" fillId="0" borderId="7" applyNumberFormat="0" applyFill="0" applyAlignment="0" applyProtection="0"/>
    <xf numFmtId="0" fontId="24" fillId="11" borderId="8" applyNumberFormat="0" applyAlignment="0" applyProtection="0"/>
    <xf numFmtId="0" fontId="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0" applyNumberFormat="0" applyFill="0" applyAlignment="0" applyProtection="0"/>
    <xf numFmtId="0" fontId="26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26" fillId="36" borderId="0" applyNumberFormat="0" applyBorder="0" applyAlignment="0" applyProtection="0"/>
    <xf numFmtId="0" fontId="27" fillId="0" borderId="0"/>
    <xf numFmtId="0" fontId="12" fillId="0" borderId="0"/>
    <xf numFmtId="0" fontId="12" fillId="0" borderId="0"/>
    <xf numFmtId="0" fontId="28" fillId="0" borderId="0"/>
    <xf numFmtId="0" fontId="12" fillId="0" borderId="0"/>
    <xf numFmtId="0" fontId="12" fillId="12" borderId="9" applyNumberFormat="0" applyFont="0" applyAlignment="0" applyProtection="0"/>
  </cellStyleXfs>
  <cellXfs count="12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1" fillId="0" borderId="1" xfId="0" applyFont="1" applyBorder="1"/>
    <xf numFmtId="0" fontId="1" fillId="0" borderId="0" xfId="0" applyFont="1" applyBorder="1"/>
    <xf numFmtId="0" fontId="1" fillId="0" borderId="0" xfId="0" applyFont="1"/>
    <xf numFmtId="164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Fill="1" applyBorder="1"/>
    <xf numFmtId="0" fontId="4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Border="1"/>
    <xf numFmtId="0" fontId="3" fillId="3" borderId="1" xfId="0" applyFont="1" applyFill="1" applyBorder="1"/>
    <xf numFmtId="0" fontId="5" fillId="0" borderId="0" xfId="0" applyFont="1"/>
    <xf numFmtId="0" fontId="6" fillId="0" borderId="1" xfId="0" applyFont="1" applyBorder="1"/>
    <xf numFmtId="0" fontId="7" fillId="0" borderId="0" xfId="0" applyFont="1"/>
    <xf numFmtId="0" fontId="0" fillId="0" borderId="0" xfId="0" applyFill="1"/>
    <xf numFmtId="0" fontId="8" fillId="0" borderId="0" xfId="0" applyFont="1"/>
    <xf numFmtId="0" fontId="8" fillId="2" borderId="0" xfId="0" applyFont="1" applyFill="1" applyBorder="1"/>
    <xf numFmtId="0" fontId="1" fillId="4" borderId="1" xfId="0" applyFont="1" applyFill="1" applyBorder="1"/>
    <xf numFmtId="0" fontId="0" fillId="4" borderId="0" xfId="0" applyFill="1"/>
    <xf numFmtId="0" fontId="0" fillId="4" borderId="1" xfId="0" applyFill="1" applyBorder="1"/>
    <xf numFmtId="0" fontId="6" fillId="0" borderId="0" xfId="0" applyFont="1"/>
    <xf numFmtId="0" fontId="0" fillId="2" borderId="1" xfId="0" applyFill="1" applyBorder="1"/>
    <xf numFmtId="164" fontId="1" fillId="2" borderId="1" xfId="0" applyNumberFormat="1" applyFont="1" applyFill="1" applyBorder="1"/>
    <xf numFmtId="0" fontId="9" fillId="0" borderId="1" xfId="0" applyFont="1" applyBorder="1"/>
    <xf numFmtId="0" fontId="3" fillId="0" borderId="0" xfId="0" applyFont="1"/>
    <xf numFmtId="0" fontId="2" fillId="2" borderId="0" xfId="0" applyFont="1" applyFill="1" applyBorder="1"/>
    <xf numFmtId="0" fontId="0" fillId="2" borderId="0" xfId="0" applyFill="1"/>
    <xf numFmtId="0" fontId="0" fillId="3" borderId="1" xfId="0" applyFill="1" applyBorder="1"/>
    <xf numFmtId="0" fontId="3" fillId="0" borderId="1" xfId="0" applyFont="1" applyBorder="1"/>
    <xf numFmtId="0" fontId="1" fillId="2" borderId="0" xfId="0" applyFont="1" applyFill="1"/>
    <xf numFmtId="0" fontId="10" fillId="0" borderId="1" xfId="0" applyFont="1" applyBorder="1"/>
    <xf numFmtId="0" fontId="4" fillId="0" borderId="1" xfId="0" applyFont="1" applyFill="1" applyBorder="1"/>
    <xf numFmtId="0" fontId="10" fillId="0" borderId="1" xfId="0" applyFont="1" applyFill="1" applyBorder="1"/>
    <xf numFmtId="0" fontId="10" fillId="0" borderId="0" xfId="0" applyFont="1" applyBorder="1"/>
    <xf numFmtId="0" fontId="10" fillId="0" borderId="0" xfId="0" applyFont="1" applyFill="1" applyBorder="1"/>
    <xf numFmtId="0" fontId="1" fillId="0" borderId="0" xfId="0" applyFont="1" applyFill="1" applyBorder="1"/>
    <xf numFmtId="0" fontId="3" fillId="0" borderId="0" xfId="0" applyFont="1" applyBorder="1"/>
    <xf numFmtId="0" fontId="4" fillId="0" borderId="0" xfId="0" applyFont="1" applyBorder="1"/>
    <xf numFmtId="0" fontId="11" fillId="0" borderId="0" xfId="0" applyFont="1"/>
    <xf numFmtId="0" fontId="1" fillId="4" borderId="0" xfId="0" applyFont="1" applyFill="1"/>
    <xf numFmtId="0" fontId="0" fillId="0" borderId="1" xfId="0" applyFill="1" applyBorder="1"/>
    <xf numFmtId="0" fontId="2" fillId="5" borderId="0" xfId="0" applyFont="1" applyFill="1"/>
    <xf numFmtId="0" fontId="0" fillId="5" borderId="0" xfId="0" applyFill="1"/>
    <xf numFmtId="0" fontId="27" fillId="37" borderId="1" xfId="41" applyNumberFormat="1" applyFill="1" applyBorder="1"/>
    <xf numFmtId="0" fontId="2" fillId="38" borderId="0" xfId="0" applyFont="1" applyFill="1" applyBorder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0" fillId="40" borderId="0" xfId="0" applyFill="1"/>
    <xf numFmtId="0" fontId="0" fillId="41" borderId="0" xfId="0" applyFill="1"/>
    <xf numFmtId="0" fontId="0" fillId="39" borderId="0" xfId="0" applyFill="1"/>
    <xf numFmtId="0" fontId="8" fillId="42" borderId="0" xfId="0" applyFont="1" applyFill="1"/>
    <xf numFmtId="0" fontId="8" fillId="38" borderId="0" xfId="0" applyFont="1" applyFill="1"/>
    <xf numFmtId="0" fontId="0" fillId="38" borderId="0" xfId="0" applyFill="1"/>
    <xf numFmtId="0" fontId="0" fillId="42" borderId="0" xfId="0" applyFill="1"/>
    <xf numFmtId="0" fontId="0" fillId="38" borderId="0" xfId="0" applyFill="1" applyBorder="1"/>
    <xf numFmtId="0" fontId="0" fillId="40" borderId="0" xfId="0" applyFill="1" applyBorder="1"/>
    <xf numFmtId="0" fontId="1" fillId="40" borderId="1" xfId="0" applyFont="1" applyFill="1" applyBorder="1"/>
    <xf numFmtId="0" fontId="1" fillId="40" borderId="0" xfId="0" applyFont="1" applyFill="1"/>
    <xf numFmtId="0" fontId="2" fillId="3" borderId="0" xfId="0" applyFont="1" applyFill="1"/>
    <xf numFmtId="0" fontId="1" fillId="2" borderId="0" xfId="0" applyFont="1" applyFill="1" applyBorder="1"/>
    <xf numFmtId="0" fontId="0" fillId="37" borderId="0" xfId="0" applyFill="1"/>
    <xf numFmtId="0" fontId="2" fillId="37" borderId="0" xfId="0" applyFont="1" applyFill="1"/>
    <xf numFmtId="0" fontId="3" fillId="2" borderId="0" xfId="0" applyFont="1" applyFill="1" applyBorder="1"/>
    <xf numFmtId="0" fontId="29" fillId="2" borderId="1" xfId="0" applyFont="1" applyFill="1" applyBorder="1"/>
    <xf numFmtId="0" fontId="3" fillId="2" borderId="1" xfId="0" applyFont="1" applyFill="1" applyBorder="1"/>
    <xf numFmtId="0" fontId="1" fillId="5" borderId="1" xfId="0" applyFont="1" applyFill="1" applyBorder="1"/>
    <xf numFmtId="0" fontId="3" fillId="4" borderId="1" xfId="0" applyFont="1" applyFill="1" applyBorder="1"/>
    <xf numFmtId="0" fontId="8" fillId="40" borderId="0" xfId="0" applyFont="1" applyFill="1"/>
    <xf numFmtId="0" fontId="2" fillId="0" borderId="1" xfId="0" applyFont="1" applyBorder="1"/>
    <xf numFmtId="0" fontId="2" fillId="2" borderId="1" xfId="0" applyFont="1" applyFill="1" applyBorder="1"/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3" borderId="0" xfId="0" applyFill="1" applyBorder="1"/>
    <xf numFmtId="0" fontId="7" fillId="3" borderId="0" xfId="0" applyFont="1" applyFill="1" applyBorder="1"/>
    <xf numFmtId="0" fontId="3" fillId="0" borderId="1" xfId="0" applyFont="1" applyFill="1" applyBorder="1"/>
    <xf numFmtId="17" fontId="1" fillId="0" borderId="1" xfId="0" applyNumberFormat="1" applyFont="1" applyBorder="1"/>
    <xf numFmtId="0" fontId="1" fillId="0" borderId="11" xfId="0" applyFont="1" applyFill="1" applyBorder="1"/>
    <xf numFmtId="16" fontId="1" fillId="0" borderId="1" xfId="0" applyNumberFormat="1" applyFont="1" applyBorder="1"/>
    <xf numFmtId="0" fontId="6" fillId="3" borderId="1" xfId="0" applyFont="1" applyFill="1" applyBorder="1"/>
    <xf numFmtId="0" fontId="1" fillId="0" borderId="11" xfId="0" applyFont="1" applyBorder="1"/>
    <xf numFmtId="16" fontId="1" fillId="0" borderId="1" xfId="0" applyNumberFormat="1" applyFont="1" applyFill="1" applyBorder="1"/>
    <xf numFmtId="0" fontId="1" fillId="0" borderId="0" xfId="0" applyFont="1" applyFill="1"/>
    <xf numFmtId="0" fontId="0" fillId="0" borderId="1" xfId="0" applyBorder="1"/>
    <xf numFmtId="0" fontId="1" fillId="0" borderId="1" xfId="0" applyFont="1" applyBorder="1"/>
    <xf numFmtId="164" fontId="1" fillId="0" borderId="1" xfId="0" applyNumberFormat="1" applyFont="1" applyBorder="1"/>
    <xf numFmtId="17" fontId="1" fillId="0" borderId="1" xfId="0" applyNumberFormat="1" applyFont="1" applyBorder="1"/>
    <xf numFmtId="16" fontId="1" fillId="0" borderId="1" xfId="0" applyNumberFormat="1" applyFont="1" applyBorder="1"/>
    <xf numFmtId="0" fontId="0" fillId="0" borderId="1" xfId="0" applyBorder="1"/>
    <xf numFmtId="164" fontId="1" fillId="0" borderId="1" xfId="0" applyNumberFormat="1" applyFont="1" applyBorder="1"/>
    <xf numFmtId="0" fontId="0" fillId="0" borderId="0" xfId="0"/>
    <xf numFmtId="0" fontId="1" fillId="0" borderId="1" xfId="0" applyFont="1" applyBorder="1"/>
    <xf numFmtId="0" fontId="3" fillId="2" borderId="1" xfId="0" applyFont="1" applyFill="1" applyBorder="1"/>
    <xf numFmtId="0" fontId="1" fillId="0" borderId="1" xfId="0" applyFont="1" applyFill="1" applyBorder="1"/>
    <xf numFmtId="0" fontId="1" fillId="3" borderId="1" xfId="0" applyFont="1" applyFill="1" applyBorder="1"/>
    <xf numFmtId="0" fontId="3" fillId="0" borderId="1" xfId="0" applyFont="1" applyBorder="1"/>
    <xf numFmtId="0" fontId="3" fillId="0" borderId="1" xfId="0" applyFont="1" applyFill="1" applyBorder="1"/>
    <xf numFmtId="0" fontId="1" fillId="0" borderId="11" xfId="0" applyFont="1" applyFill="1" applyBorder="1"/>
    <xf numFmtId="0" fontId="3" fillId="3" borderId="1" xfId="0" applyFont="1" applyFill="1" applyBorder="1"/>
    <xf numFmtId="0" fontId="0" fillId="0" borderId="0" xfId="0" applyAlignment="1">
      <alignment horizontal="right"/>
    </xf>
    <xf numFmtId="0" fontId="0" fillId="0" borderId="1" xfId="0" applyFont="1" applyBorder="1"/>
    <xf numFmtId="0" fontId="1" fillId="0" borderId="13" xfId="0" applyFont="1" applyFill="1" applyBorder="1"/>
    <xf numFmtId="0" fontId="0" fillId="0" borderId="13" xfId="0" applyFont="1" applyFill="1" applyBorder="1"/>
    <xf numFmtId="0" fontId="2" fillId="0" borderId="0" xfId="0" applyFont="1" applyBorder="1"/>
    <xf numFmtId="0" fontId="1" fillId="0" borderId="12" xfId="0" applyFont="1" applyFill="1" applyBorder="1"/>
    <xf numFmtId="0" fontId="0" fillId="0" borderId="1" xfId="0" applyFont="1" applyFill="1" applyBorder="1"/>
    <xf numFmtId="0" fontId="1" fillId="37" borderId="1" xfId="0" applyFont="1" applyFill="1" applyBorder="1"/>
    <xf numFmtId="0" fontId="1" fillId="37" borderId="11" xfId="0" applyFont="1" applyFill="1" applyBorder="1"/>
    <xf numFmtId="0" fontId="3" fillId="37" borderId="1" xfId="0" applyFont="1" applyFill="1" applyBorder="1"/>
    <xf numFmtId="0" fontId="9" fillId="0" borderId="0" xfId="0" applyFont="1" applyFill="1" applyAlignment="1">
      <alignment horizontal="center" vertical="top" wrapText="1"/>
    </xf>
    <xf numFmtId="0" fontId="9" fillId="0" borderId="0" xfId="0" applyFont="1" applyFill="1" applyAlignment="1">
      <alignment horizontal="center" vertical="top"/>
    </xf>
  </cellXfs>
  <cellStyles count="47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5"/>
    <cellStyle name="Normal 3" xfId="44"/>
    <cellStyle name="Normal 4" xfId="43"/>
    <cellStyle name="Normal 5" xfId="41"/>
    <cellStyle name="Note 2" xfId="46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677"/>
  <sheetViews>
    <sheetView topLeftCell="A49" zoomScale="70" zoomScaleNormal="70" workbookViewId="0">
      <selection activeCell="F29" sqref="F29:F66"/>
    </sheetView>
  </sheetViews>
  <sheetFormatPr defaultRowHeight="21"/>
  <cols>
    <col min="1" max="1" width="18" style="1" bestFit="1" customWidth="1"/>
    <col min="2" max="2" width="32.42578125" style="14" bestFit="1" customWidth="1"/>
    <col min="3" max="3" width="20.28515625" style="4" customWidth="1"/>
    <col min="4" max="4" width="23.5703125" customWidth="1"/>
    <col min="5" max="5" width="24.85546875" style="1" bestFit="1" customWidth="1"/>
    <col min="6" max="6" width="31.28515625" style="4" bestFit="1" customWidth="1"/>
    <col min="7" max="7" width="17.5703125" style="4" customWidth="1"/>
    <col min="8" max="8" width="17.7109375" customWidth="1"/>
    <col min="9" max="9" width="32.42578125" style="14" bestFit="1" customWidth="1"/>
    <col min="10" max="10" width="28" style="14" bestFit="1" customWidth="1"/>
    <col min="11" max="11" width="29.7109375" style="1" bestFit="1" customWidth="1"/>
    <col min="12" max="12" width="21.42578125" style="35" customWidth="1"/>
    <col min="13" max="13" width="17" customWidth="1"/>
    <col min="14" max="14" width="18.42578125" customWidth="1"/>
    <col min="15" max="15" width="31.28515625" style="6" bestFit="1" customWidth="1"/>
  </cols>
  <sheetData>
    <row r="1" spans="1:17" ht="22.5" customHeight="1">
      <c r="A1" s="8" t="s">
        <v>2</v>
      </c>
      <c r="B1" s="15" t="s">
        <v>19</v>
      </c>
      <c r="C1" s="8" t="s">
        <v>3</v>
      </c>
      <c r="E1" s="8" t="s">
        <v>4</v>
      </c>
      <c r="F1" s="8" t="s">
        <v>693</v>
      </c>
      <c r="G1" s="8" t="s">
        <v>3</v>
      </c>
      <c r="H1" s="9"/>
      <c r="I1" s="15" t="s">
        <v>19</v>
      </c>
      <c r="J1" s="15" t="s">
        <v>5</v>
      </c>
      <c r="K1" s="8" t="s">
        <v>6</v>
      </c>
      <c r="L1" s="15" t="s">
        <v>7</v>
      </c>
    </row>
    <row r="2" spans="1:17">
      <c r="A2" s="7"/>
      <c r="B2" s="13" t="s">
        <v>71</v>
      </c>
      <c r="C2" s="6">
        <v>19</v>
      </c>
      <c r="D2" s="5"/>
      <c r="E2" s="90">
        <v>43374</v>
      </c>
      <c r="F2" s="102" t="s">
        <v>42</v>
      </c>
      <c r="G2" s="100">
        <v>1</v>
      </c>
      <c r="H2" s="91"/>
      <c r="I2" s="13" t="s">
        <v>71</v>
      </c>
      <c r="J2" s="14">
        <f t="shared" ref="J2:J40" ca="1" si="0">SUMIF(B:C,I2,C:C)</f>
        <v>19</v>
      </c>
      <c r="K2" s="4">
        <f t="shared" ref="K2:K65" ca="1" si="1">SUMIF(F:G,I2,G:G)</f>
        <v>0</v>
      </c>
      <c r="L2" s="73">
        <f t="shared" ref="L2:L66" ca="1" si="2">J2-K2</f>
        <v>19</v>
      </c>
      <c r="M2" s="6">
        <f>MATCH(I2,B2,0)</f>
        <v>1</v>
      </c>
      <c r="N2">
        <v>19</v>
      </c>
      <c r="O2" s="32"/>
    </row>
    <row r="3" spans="1:17">
      <c r="B3" s="13" t="s">
        <v>8</v>
      </c>
      <c r="C3" s="6">
        <v>22</v>
      </c>
      <c r="D3" s="5"/>
      <c r="E3" s="98"/>
      <c r="F3" s="102" t="s">
        <v>23</v>
      </c>
      <c r="G3" s="100">
        <v>1</v>
      </c>
      <c r="H3" s="91"/>
      <c r="I3" s="13" t="s">
        <v>8</v>
      </c>
      <c r="J3" s="14">
        <f t="shared" ca="1" si="0"/>
        <v>22</v>
      </c>
      <c r="K3" s="4">
        <f t="shared" ca="1" si="1"/>
        <v>0</v>
      </c>
      <c r="L3" s="73">
        <f t="shared" ca="1" si="2"/>
        <v>22</v>
      </c>
      <c r="M3" s="6">
        <f t="shared" ref="M3:M68" si="3">MATCH(I3,B3,0)</f>
        <v>1</v>
      </c>
      <c r="N3">
        <v>22</v>
      </c>
    </row>
    <row r="4" spans="1:17" s="79" customFormat="1">
      <c r="A4" s="1"/>
      <c r="B4" s="13" t="s">
        <v>803</v>
      </c>
      <c r="C4" s="6">
        <v>19</v>
      </c>
      <c r="D4" s="5"/>
      <c r="E4" s="102"/>
      <c r="F4" s="102" t="s">
        <v>809</v>
      </c>
      <c r="G4" s="102">
        <v>2</v>
      </c>
      <c r="H4" s="91"/>
      <c r="I4" s="13" t="s">
        <v>803</v>
      </c>
      <c r="J4" s="14">
        <f t="shared" ca="1" si="0"/>
        <v>19</v>
      </c>
      <c r="K4" s="4">
        <f t="shared" ca="1" si="1"/>
        <v>0</v>
      </c>
      <c r="L4" s="73">
        <f t="shared" ref="L4" ca="1" si="4">J4-K4</f>
        <v>19</v>
      </c>
      <c r="M4" s="6">
        <f t="shared" si="3"/>
        <v>1</v>
      </c>
      <c r="N4" s="79">
        <v>19</v>
      </c>
      <c r="O4" s="6"/>
    </row>
    <row r="5" spans="1:17">
      <c r="B5" s="13" t="s">
        <v>17</v>
      </c>
      <c r="C5" s="6">
        <v>17</v>
      </c>
      <c r="D5" s="5"/>
      <c r="E5" s="98"/>
      <c r="F5" s="102" t="s">
        <v>560</v>
      </c>
      <c r="G5" s="100">
        <v>1</v>
      </c>
      <c r="H5" s="91"/>
      <c r="I5" s="13" t="s">
        <v>17</v>
      </c>
      <c r="J5" s="14">
        <f t="shared" ca="1" si="0"/>
        <v>17</v>
      </c>
      <c r="K5" s="4">
        <f t="shared" ca="1" si="1"/>
        <v>0</v>
      </c>
      <c r="L5" s="73">
        <f t="shared" ca="1" si="2"/>
        <v>17</v>
      </c>
      <c r="M5" s="6">
        <f t="shared" si="3"/>
        <v>1</v>
      </c>
      <c r="N5">
        <v>17</v>
      </c>
      <c r="O5" s="32"/>
    </row>
    <row r="6" spans="1:17">
      <c r="A6" s="7"/>
      <c r="B6" s="13" t="s">
        <v>692</v>
      </c>
      <c r="C6" s="6">
        <v>46</v>
      </c>
      <c r="D6" s="5"/>
      <c r="E6" s="90"/>
      <c r="F6" s="102" t="s">
        <v>11</v>
      </c>
      <c r="G6" s="100">
        <v>2</v>
      </c>
      <c r="H6" s="91"/>
      <c r="I6" s="13" t="s">
        <v>692</v>
      </c>
      <c r="J6" s="14">
        <f t="shared" ca="1" si="0"/>
        <v>46</v>
      </c>
      <c r="K6" s="4">
        <f t="shared" ca="1" si="1"/>
        <v>1</v>
      </c>
      <c r="L6" s="73">
        <f t="shared" ca="1" si="2"/>
        <v>45</v>
      </c>
      <c r="M6" s="6">
        <f t="shared" si="3"/>
        <v>1</v>
      </c>
      <c r="N6">
        <v>46</v>
      </c>
      <c r="O6" s="32"/>
    </row>
    <row r="7" spans="1:17">
      <c r="B7" s="13" t="s">
        <v>18</v>
      </c>
      <c r="C7" s="6">
        <v>60</v>
      </c>
      <c r="D7" s="5"/>
      <c r="E7" s="90"/>
      <c r="F7" s="102" t="s">
        <v>64</v>
      </c>
      <c r="G7" s="100">
        <v>1</v>
      </c>
      <c r="H7" s="91"/>
      <c r="I7" s="13" t="s">
        <v>18</v>
      </c>
      <c r="J7" s="14">
        <f t="shared" ca="1" si="0"/>
        <v>60</v>
      </c>
      <c r="K7" s="4">
        <f t="shared" ca="1" si="1"/>
        <v>8</v>
      </c>
      <c r="L7" s="73">
        <f t="shared" ca="1" si="2"/>
        <v>52</v>
      </c>
      <c r="M7" s="6">
        <f t="shared" si="3"/>
        <v>1</v>
      </c>
      <c r="N7">
        <v>60</v>
      </c>
      <c r="O7" s="32"/>
    </row>
    <row r="8" spans="1:17">
      <c r="B8" s="13" t="s">
        <v>67</v>
      </c>
      <c r="C8" s="6">
        <v>52</v>
      </c>
      <c r="D8" s="5"/>
      <c r="E8" s="98"/>
      <c r="F8" s="102" t="s">
        <v>68</v>
      </c>
      <c r="G8" s="100">
        <v>2</v>
      </c>
      <c r="H8" s="91"/>
      <c r="I8" s="13" t="s">
        <v>67</v>
      </c>
      <c r="J8" s="14">
        <f t="shared" ca="1" si="0"/>
        <v>52</v>
      </c>
      <c r="K8" s="4">
        <f t="shared" ca="1" si="1"/>
        <v>3</v>
      </c>
      <c r="L8" s="73">
        <f t="shared" ca="1" si="2"/>
        <v>49</v>
      </c>
      <c r="M8" s="6">
        <f t="shared" si="3"/>
        <v>1</v>
      </c>
      <c r="N8">
        <v>52</v>
      </c>
      <c r="O8" s="32"/>
    </row>
    <row r="9" spans="1:17">
      <c r="A9" s="7"/>
      <c r="B9" s="13" t="s">
        <v>280</v>
      </c>
      <c r="C9" s="6">
        <v>33</v>
      </c>
      <c r="D9" s="5"/>
      <c r="E9" s="90">
        <v>43375</v>
      </c>
      <c r="F9" s="102" t="s">
        <v>45</v>
      </c>
      <c r="G9" s="102">
        <v>1</v>
      </c>
      <c r="H9" s="91"/>
      <c r="I9" s="13" t="s">
        <v>280</v>
      </c>
      <c r="J9" s="14">
        <f t="shared" ca="1" si="0"/>
        <v>33</v>
      </c>
      <c r="K9" s="4">
        <f t="shared" ca="1" si="1"/>
        <v>0</v>
      </c>
      <c r="L9" s="73">
        <f t="shared" ca="1" si="2"/>
        <v>33</v>
      </c>
      <c r="M9" s="6">
        <f t="shared" si="3"/>
        <v>1</v>
      </c>
      <c r="N9">
        <v>33</v>
      </c>
      <c r="O9" s="32"/>
    </row>
    <row r="10" spans="1:17">
      <c r="B10" s="13" t="s">
        <v>281</v>
      </c>
      <c r="C10" s="6">
        <v>11</v>
      </c>
      <c r="D10" s="5"/>
      <c r="E10" s="90"/>
      <c r="F10" s="102" t="s">
        <v>819</v>
      </c>
      <c r="G10" s="102">
        <v>0.5</v>
      </c>
      <c r="H10" s="91"/>
      <c r="I10" s="13" t="s">
        <v>281</v>
      </c>
      <c r="J10" s="14">
        <f t="shared" ca="1" si="0"/>
        <v>11</v>
      </c>
      <c r="K10" s="4">
        <f t="shared" ca="1" si="1"/>
        <v>0</v>
      </c>
      <c r="L10" s="73">
        <f t="shared" ca="1" si="2"/>
        <v>11</v>
      </c>
      <c r="M10" s="6">
        <f t="shared" si="3"/>
        <v>1</v>
      </c>
      <c r="N10">
        <v>11</v>
      </c>
    </row>
    <row r="11" spans="1:17">
      <c r="B11" s="13" t="s">
        <v>36</v>
      </c>
      <c r="C11" s="6">
        <v>81</v>
      </c>
      <c r="D11" s="5"/>
      <c r="E11" s="90"/>
      <c r="F11" s="102" t="s">
        <v>335</v>
      </c>
      <c r="G11" s="102">
        <v>1</v>
      </c>
      <c r="H11" s="91"/>
      <c r="I11" s="13" t="s">
        <v>36</v>
      </c>
      <c r="J11" s="14">
        <f t="shared" ca="1" si="0"/>
        <v>81</v>
      </c>
      <c r="K11" s="4">
        <f t="shared" ca="1" si="1"/>
        <v>14</v>
      </c>
      <c r="L11" s="73">
        <f t="shared" ca="1" si="2"/>
        <v>67</v>
      </c>
      <c r="M11" s="6">
        <f t="shared" si="3"/>
        <v>1</v>
      </c>
      <c r="N11">
        <v>81</v>
      </c>
    </row>
    <row r="12" spans="1:17">
      <c r="B12" s="13" t="s">
        <v>41</v>
      </c>
      <c r="C12" s="6">
        <v>24</v>
      </c>
      <c r="D12" s="5"/>
      <c r="E12" s="100"/>
      <c r="F12" s="102" t="s">
        <v>554</v>
      </c>
      <c r="G12" s="102">
        <v>1</v>
      </c>
      <c r="H12" s="91"/>
      <c r="I12" s="13" t="s">
        <v>41</v>
      </c>
      <c r="J12" s="14">
        <f t="shared" ca="1" si="0"/>
        <v>24</v>
      </c>
      <c r="K12" s="4">
        <f t="shared" ca="1" si="1"/>
        <v>2</v>
      </c>
      <c r="L12" s="73">
        <f t="shared" ca="1" si="2"/>
        <v>22</v>
      </c>
      <c r="M12" s="6">
        <f t="shared" si="3"/>
        <v>1</v>
      </c>
      <c r="N12">
        <v>24</v>
      </c>
      <c r="Q12" s="10"/>
    </row>
    <row r="13" spans="1:17">
      <c r="B13" s="13" t="s">
        <v>27</v>
      </c>
      <c r="C13" s="6">
        <v>3</v>
      </c>
      <c r="D13" s="5"/>
      <c r="E13" s="90"/>
      <c r="F13" s="105" t="s">
        <v>820</v>
      </c>
      <c r="G13" s="102">
        <v>1</v>
      </c>
      <c r="H13" s="91"/>
      <c r="I13" s="13" t="s">
        <v>27</v>
      </c>
      <c r="J13" s="14">
        <f t="shared" ca="1" si="0"/>
        <v>3</v>
      </c>
      <c r="K13" s="4">
        <f t="shared" ca="1" si="1"/>
        <v>0</v>
      </c>
      <c r="L13" s="73">
        <f t="shared" ca="1" si="2"/>
        <v>3</v>
      </c>
      <c r="M13" s="6">
        <f t="shared" si="3"/>
        <v>1</v>
      </c>
      <c r="N13">
        <v>3</v>
      </c>
    </row>
    <row r="14" spans="1:17">
      <c r="B14" s="13" t="s">
        <v>54</v>
      </c>
      <c r="C14" s="6">
        <v>13</v>
      </c>
      <c r="D14" s="5"/>
      <c r="E14" s="90"/>
      <c r="F14" s="102" t="s">
        <v>262</v>
      </c>
      <c r="G14" s="102">
        <v>2</v>
      </c>
      <c r="H14" s="91"/>
      <c r="I14" s="13" t="s">
        <v>54</v>
      </c>
      <c r="J14" s="14">
        <f t="shared" ca="1" si="0"/>
        <v>13</v>
      </c>
      <c r="K14" s="4">
        <f t="shared" ca="1" si="1"/>
        <v>0</v>
      </c>
      <c r="L14" s="73">
        <f t="shared" ca="1" si="2"/>
        <v>13</v>
      </c>
      <c r="M14" s="6">
        <f t="shared" si="3"/>
        <v>1</v>
      </c>
      <c r="N14">
        <v>13</v>
      </c>
    </row>
    <row r="15" spans="1:17">
      <c r="B15" s="13" t="s">
        <v>68</v>
      </c>
      <c r="C15" s="6">
        <v>29</v>
      </c>
      <c r="D15" s="5"/>
      <c r="E15" s="95"/>
      <c r="F15" s="103" t="s">
        <v>411</v>
      </c>
      <c r="G15" s="102">
        <v>1</v>
      </c>
      <c r="H15" s="91"/>
      <c r="I15" s="13" t="s">
        <v>68</v>
      </c>
      <c r="J15" s="14">
        <f t="shared" ca="1" si="0"/>
        <v>29</v>
      </c>
      <c r="K15" s="4">
        <f t="shared" ca="1" si="1"/>
        <v>7</v>
      </c>
      <c r="L15" s="73">
        <f t="shared" ca="1" si="2"/>
        <v>22</v>
      </c>
      <c r="M15" s="6">
        <f t="shared" si="3"/>
        <v>1</v>
      </c>
      <c r="N15">
        <v>29</v>
      </c>
    </row>
    <row r="16" spans="1:17">
      <c r="A16" s="7"/>
      <c r="B16" s="13" t="s">
        <v>20</v>
      </c>
      <c r="C16" s="6">
        <v>2</v>
      </c>
      <c r="D16" s="5"/>
      <c r="E16" s="90"/>
      <c r="F16" s="102" t="s">
        <v>394</v>
      </c>
      <c r="G16" s="102">
        <v>1</v>
      </c>
      <c r="H16" s="91"/>
      <c r="I16" s="13" t="s">
        <v>20</v>
      </c>
      <c r="J16" s="14">
        <f t="shared" ca="1" si="0"/>
        <v>2</v>
      </c>
      <c r="K16" s="4">
        <f t="shared" ca="1" si="1"/>
        <v>0</v>
      </c>
      <c r="L16" s="73">
        <f t="shared" ca="1" si="2"/>
        <v>2</v>
      </c>
      <c r="M16" s="6">
        <f t="shared" si="3"/>
        <v>1</v>
      </c>
      <c r="N16">
        <v>2</v>
      </c>
    </row>
    <row r="17" spans="1:14">
      <c r="B17" s="13" t="s">
        <v>72</v>
      </c>
      <c r="C17" s="6">
        <v>60</v>
      </c>
      <c r="D17" s="5"/>
      <c r="E17" s="100"/>
      <c r="F17" s="102" t="s">
        <v>52</v>
      </c>
      <c r="G17" s="102">
        <v>2</v>
      </c>
      <c r="H17" s="91"/>
      <c r="I17" s="13" t="s">
        <v>72</v>
      </c>
      <c r="J17" s="14">
        <f t="shared" ca="1" si="0"/>
        <v>60</v>
      </c>
      <c r="K17" s="4">
        <f t="shared" ca="1" si="1"/>
        <v>0</v>
      </c>
      <c r="L17" s="73">
        <f t="shared" ca="1" si="2"/>
        <v>60</v>
      </c>
      <c r="M17" s="6">
        <f t="shared" si="3"/>
        <v>1</v>
      </c>
      <c r="N17">
        <v>60</v>
      </c>
    </row>
    <row r="18" spans="1:14">
      <c r="B18" s="13" t="s">
        <v>73</v>
      </c>
      <c r="C18" s="6">
        <v>0</v>
      </c>
      <c r="D18" s="5"/>
      <c r="E18" s="90">
        <v>43376</v>
      </c>
      <c r="F18" s="102" t="s">
        <v>50</v>
      </c>
      <c r="G18" s="102">
        <v>1</v>
      </c>
      <c r="H18" s="91"/>
      <c r="I18" s="13" t="s">
        <v>73</v>
      </c>
      <c r="J18" s="14">
        <f t="shared" ca="1" si="0"/>
        <v>0</v>
      </c>
      <c r="K18" s="4">
        <f t="shared" ca="1" si="1"/>
        <v>0</v>
      </c>
      <c r="L18" s="73">
        <f t="shared" ca="1" si="2"/>
        <v>0</v>
      </c>
      <c r="M18" s="6">
        <f t="shared" si="3"/>
        <v>1</v>
      </c>
      <c r="N18">
        <v>0</v>
      </c>
    </row>
    <row r="19" spans="1:14">
      <c r="B19" s="13" t="s">
        <v>70</v>
      </c>
      <c r="C19" s="6">
        <v>2</v>
      </c>
      <c r="D19" s="5"/>
      <c r="E19" s="102"/>
      <c r="F19" s="102" t="s">
        <v>15</v>
      </c>
      <c r="G19" s="102">
        <v>0.4</v>
      </c>
      <c r="H19" s="91"/>
      <c r="I19" s="13" t="s">
        <v>70</v>
      </c>
      <c r="J19" s="14">
        <f t="shared" ca="1" si="0"/>
        <v>2</v>
      </c>
      <c r="K19" s="4">
        <f t="shared" ca="1" si="1"/>
        <v>0</v>
      </c>
      <c r="L19" s="73">
        <f t="shared" ca="1" si="2"/>
        <v>2</v>
      </c>
      <c r="M19" s="6">
        <f t="shared" si="3"/>
        <v>1</v>
      </c>
      <c r="N19">
        <v>2</v>
      </c>
    </row>
    <row r="20" spans="1:14">
      <c r="B20" s="13" t="s">
        <v>282</v>
      </c>
      <c r="C20" s="6">
        <v>0</v>
      </c>
      <c r="D20" s="5"/>
      <c r="E20" s="102"/>
      <c r="F20" s="102" t="s">
        <v>810</v>
      </c>
      <c r="G20" s="102">
        <v>1</v>
      </c>
      <c r="H20" s="6"/>
      <c r="I20" s="13" t="s">
        <v>282</v>
      </c>
      <c r="J20" s="14">
        <f t="shared" ca="1" si="0"/>
        <v>0</v>
      </c>
      <c r="K20" s="4">
        <f t="shared" ca="1" si="1"/>
        <v>0</v>
      </c>
      <c r="L20" s="73">
        <f t="shared" ca="1" si="2"/>
        <v>0</v>
      </c>
      <c r="M20" s="6">
        <f t="shared" si="3"/>
        <v>1</v>
      </c>
      <c r="N20">
        <v>0</v>
      </c>
    </row>
    <row r="21" spans="1:14">
      <c r="B21" s="13" t="s">
        <v>283</v>
      </c>
      <c r="C21" s="6">
        <v>0</v>
      </c>
      <c r="D21" s="5"/>
      <c r="E21" s="102"/>
      <c r="F21" s="102" t="s">
        <v>806</v>
      </c>
      <c r="G21" s="102">
        <v>1</v>
      </c>
      <c r="H21" s="6"/>
      <c r="I21" s="13" t="s">
        <v>283</v>
      </c>
      <c r="J21" s="14">
        <f t="shared" ca="1" si="0"/>
        <v>0</v>
      </c>
      <c r="K21" s="4">
        <f t="shared" ca="1" si="1"/>
        <v>0</v>
      </c>
      <c r="L21" s="73">
        <f t="shared" ca="1" si="2"/>
        <v>0</v>
      </c>
      <c r="M21" s="6">
        <f t="shared" si="3"/>
        <v>1</v>
      </c>
      <c r="N21">
        <v>0</v>
      </c>
    </row>
    <row r="22" spans="1:14">
      <c r="B22" s="13" t="s">
        <v>284</v>
      </c>
      <c r="C22" s="6">
        <v>0</v>
      </c>
      <c r="D22" s="5"/>
      <c r="E22" s="98"/>
      <c r="F22" s="102" t="s">
        <v>67</v>
      </c>
      <c r="G22" s="102">
        <v>2</v>
      </c>
      <c r="H22" s="6"/>
      <c r="I22" s="13" t="s">
        <v>284</v>
      </c>
      <c r="J22" s="14">
        <f t="shared" ca="1" si="0"/>
        <v>0</v>
      </c>
      <c r="K22" s="4">
        <f t="shared" ca="1" si="1"/>
        <v>0</v>
      </c>
      <c r="L22" s="73">
        <f t="shared" ca="1" si="2"/>
        <v>0</v>
      </c>
      <c r="M22" s="6">
        <f t="shared" si="3"/>
        <v>1</v>
      </c>
      <c r="N22">
        <v>0</v>
      </c>
    </row>
    <row r="23" spans="1:14">
      <c r="A23" s="7"/>
      <c r="B23" s="13" t="s">
        <v>285</v>
      </c>
      <c r="C23" s="6">
        <v>11</v>
      </c>
      <c r="D23" s="5"/>
      <c r="E23" s="102"/>
      <c r="F23" s="105" t="s">
        <v>12</v>
      </c>
      <c r="G23" s="102">
        <v>1</v>
      </c>
      <c r="H23" s="6"/>
      <c r="I23" s="13" t="s">
        <v>285</v>
      </c>
      <c r="J23" s="14">
        <f t="shared" ca="1" si="0"/>
        <v>11</v>
      </c>
      <c r="K23" s="4">
        <f t="shared" ca="1" si="1"/>
        <v>0</v>
      </c>
      <c r="L23" s="73">
        <f t="shared" ca="1" si="2"/>
        <v>11</v>
      </c>
      <c r="M23" s="6">
        <f t="shared" si="3"/>
        <v>1</v>
      </c>
      <c r="N23">
        <v>11</v>
      </c>
    </row>
    <row r="24" spans="1:14">
      <c r="B24" s="11" t="s">
        <v>708</v>
      </c>
      <c r="C24" s="6">
        <v>0</v>
      </c>
      <c r="D24" s="5"/>
      <c r="E24" s="90"/>
      <c r="F24" s="102" t="s">
        <v>41</v>
      </c>
      <c r="G24" s="100">
        <v>1</v>
      </c>
      <c r="H24" s="6"/>
      <c r="I24" s="11" t="s">
        <v>708</v>
      </c>
      <c r="J24" s="14">
        <f t="shared" ca="1" si="0"/>
        <v>0</v>
      </c>
      <c r="K24" s="4">
        <f t="shared" ca="1" si="1"/>
        <v>0</v>
      </c>
      <c r="L24" s="73">
        <f t="shared" ca="1" si="2"/>
        <v>0</v>
      </c>
      <c r="M24" s="6">
        <f t="shared" si="3"/>
        <v>1</v>
      </c>
      <c r="N24">
        <v>0</v>
      </c>
    </row>
    <row r="25" spans="1:14">
      <c r="B25" s="11" t="s">
        <v>709</v>
      </c>
      <c r="C25" s="6">
        <v>0</v>
      </c>
      <c r="D25" s="5"/>
      <c r="E25" s="95"/>
      <c r="F25" s="102" t="s">
        <v>197</v>
      </c>
      <c r="G25" s="100">
        <v>0.2</v>
      </c>
      <c r="H25" s="6"/>
      <c r="I25" s="11" t="s">
        <v>709</v>
      </c>
      <c r="J25" s="14">
        <f t="shared" ca="1" si="0"/>
        <v>0</v>
      </c>
      <c r="K25" s="4">
        <f t="shared" ca="1" si="1"/>
        <v>0</v>
      </c>
      <c r="L25" s="73">
        <f t="shared" ca="1" si="2"/>
        <v>0</v>
      </c>
      <c r="M25" s="6">
        <f t="shared" si="3"/>
        <v>1</v>
      </c>
      <c r="N25">
        <v>0</v>
      </c>
    </row>
    <row r="26" spans="1:14">
      <c r="A26" s="7"/>
      <c r="B26" s="13" t="s">
        <v>74</v>
      </c>
      <c r="C26" s="6">
        <v>0</v>
      </c>
      <c r="D26" s="5"/>
      <c r="E26" s="95"/>
      <c r="F26" s="102" t="s">
        <v>258</v>
      </c>
      <c r="G26" s="100">
        <v>1</v>
      </c>
      <c r="H26" s="6"/>
      <c r="I26" s="13" t="s">
        <v>74</v>
      </c>
      <c r="J26" s="14">
        <f t="shared" ca="1" si="0"/>
        <v>0</v>
      </c>
      <c r="K26" s="4">
        <f t="shared" ca="1" si="1"/>
        <v>0</v>
      </c>
      <c r="L26" s="73">
        <f t="shared" ca="1" si="2"/>
        <v>0</v>
      </c>
      <c r="M26" s="6">
        <f t="shared" si="3"/>
        <v>1</v>
      </c>
      <c r="N26">
        <v>0</v>
      </c>
    </row>
    <row r="27" spans="1:14">
      <c r="B27" s="13" t="s">
        <v>286</v>
      </c>
      <c r="C27" s="46">
        <v>0</v>
      </c>
      <c r="D27" s="5"/>
      <c r="E27" s="95"/>
      <c r="F27" s="102" t="s">
        <v>18</v>
      </c>
      <c r="G27" s="100">
        <v>8</v>
      </c>
      <c r="I27" s="13" t="s">
        <v>286</v>
      </c>
      <c r="J27" s="14">
        <f t="shared" ca="1" si="0"/>
        <v>0</v>
      </c>
      <c r="K27" s="4">
        <f t="shared" ca="1" si="1"/>
        <v>0</v>
      </c>
      <c r="L27" s="73">
        <f t="shared" ca="1" si="2"/>
        <v>0</v>
      </c>
      <c r="M27" s="6">
        <f t="shared" si="3"/>
        <v>1</v>
      </c>
      <c r="N27">
        <v>0</v>
      </c>
    </row>
    <row r="28" spans="1:14">
      <c r="B28" s="4" t="s">
        <v>710</v>
      </c>
      <c r="C28" s="6">
        <v>0</v>
      </c>
      <c r="D28" s="5"/>
      <c r="E28" s="90"/>
      <c r="F28" s="102" t="s">
        <v>36</v>
      </c>
      <c r="G28" s="100">
        <v>14</v>
      </c>
      <c r="I28" s="4" t="s">
        <v>710</v>
      </c>
      <c r="J28" s="14">
        <f t="shared" ca="1" si="0"/>
        <v>0</v>
      </c>
      <c r="K28" s="4">
        <f t="shared" ca="1" si="1"/>
        <v>0</v>
      </c>
      <c r="L28" s="73">
        <f t="shared" ca="1" si="2"/>
        <v>0</v>
      </c>
      <c r="M28" s="6">
        <f t="shared" si="3"/>
        <v>1</v>
      </c>
      <c r="N28">
        <v>0</v>
      </c>
    </row>
    <row r="29" spans="1:14">
      <c r="B29" s="13" t="s">
        <v>75</v>
      </c>
      <c r="C29" s="6">
        <v>0</v>
      </c>
      <c r="D29" s="5"/>
      <c r="E29" s="90">
        <v>43377</v>
      </c>
      <c r="F29" s="102" t="s">
        <v>821</v>
      </c>
      <c r="G29" s="100">
        <v>1</v>
      </c>
      <c r="I29" s="13" t="s">
        <v>75</v>
      </c>
      <c r="J29" s="14">
        <f t="shared" ca="1" si="0"/>
        <v>0</v>
      </c>
      <c r="K29" s="4">
        <f t="shared" ca="1" si="1"/>
        <v>0</v>
      </c>
      <c r="L29" s="73">
        <f t="shared" ca="1" si="2"/>
        <v>0</v>
      </c>
      <c r="M29" s="6">
        <f t="shared" si="3"/>
        <v>1</v>
      </c>
      <c r="N29">
        <v>0</v>
      </c>
    </row>
    <row r="30" spans="1:14">
      <c r="B30" s="13" t="s">
        <v>76</v>
      </c>
      <c r="C30" s="6">
        <v>0</v>
      </c>
      <c r="D30" s="5"/>
      <c r="E30" s="90"/>
      <c r="F30" s="102" t="s">
        <v>56</v>
      </c>
      <c r="G30" s="100">
        <v>2</v>
      </c>
      <c r="I30" s="13" t="s">
        <v>76</v>
      </c>
      <c r="J30" s="14">
        <f t="shared" ca="1" si="0"/>
        <v>0</v>
      </c>
      <c r="K30" s="4">
        <f t="shared" ca="1" si="1"/>
        <v>0</v>
      </c>
      <c r="L30" s="73">
        <f t="shared" ca="1" si="2"/>
        <v>0</v>
      </c>
      <c r="M30" s="6">
        <f t="shared" si="3"/>
        <v>1</v>
      </c>
      <c r="N30">
        <v>0</v>
      </c>
    </row>
    <row r="31" spans="1:14">
      <c r="B31" s="13" t="s">
        <v>287</v>
      </c>
      <c r="C31" s="6">
        <v>0</v>
      </c>
      <c r="D31" s="5"/>
      <c r="E31" s="95"/>
      <c r="F31" s="102" t="s">
        <v>177</v>
      </c>
      <c r="G31" s="100">
        <v>2</v>
      </c>
      <c r="I31" s="13" t="s">
        <v>287</v>
      </c>
      <c r="J31" s="14">
        <f t="shared" ca="1" si="0"/>
        <v>0</v>
      </c>
      <c r="K31" s="4">
        <f t="shared" ca="1" si="1"/>
        <v>0</v>
      </c>
      <c r="L31" s="73">
        <f t="shared" ca="1" si="2"/>
        <v>0</v>
      </c>
      <c r="M31" s="6">
        <f t="shared" si="3"/>
        <v>1</v>
      </c>
      <c r="N31">
        <v>0</v>
      </c>
    </row>
    <row r="32" spans="1:14">
      <c r="B32" s="13" t="s">
        <v>288</v>
      </c>
      <c r="C32" s="6">
        <v>0</v>
      </c>
      <c r="D32" s="5"/>
      <c r="E32" s="90"/>
      <c r="F32" s="102" t="s">
        <v>50</v>
      </c>
      <c r="G32" s="100">
        <v>1</v>
      </c>
      <c r="I32" s="13" t="s">
        <v>288</v>
      </c>
      <c r="J32" s="14">
        <f t="shared" ca="1" si="0"/>
        <v>0</v>
      </c>
      <c r="K32" s="4">
        <f t="shared" ca="1" si="1"/>
        <v>0</v>
      </c>
      <c r="L32" s="73">
        <f t="shared" ca="1" si="2"/>
        <v>0</v>
      </c>
      <c r="M32" s="6">
        <f t="shared" si="3"/>
        <v>1</v>
      </c>
      <c r="N32">
        <v>0</v>
      </c>
    </row>
    <row r="33" spans="1:15">
      <c r="A33" s="7"/>
      <c r="B33" s="13" t="s">
        <v>289</v>
      </c>
      <c r="C33" s="6">
        <v>3</v>
      </c>
      <c r="D33" s="5"/>
      <c r="E33" s="95"/>
      <c r="F33" s="102" t="s">
        <v>45</v>
      </c>
      <c r="G33" s="100">
        <v>1</v>
      </c>
      <c r="I33" s="13" t="s">
        <v>289</v>
      </c>
      <c r="J33" s="14">
        <f t="shared" ca="1" si="0"/>
        <v>3</v>
      </c>
      <c r="K33" s="4">
        <f t="shared" ca="1" si="1"/>
        <v>0</v>
      </c>
      <c r="L33" s="73">
        <f t="shared" ca="1" si="2"/>
        <v>3</v>
      </c>
      <c r="M33" s="6">
        <f t="shared" si="3"/>
        <v>1</v>
      </c>
      <c r="N33">
        <v>3</v>
      </c>
    </row>
    <row r="34" spans="1:15">
      <c r="B34" s="13" t="s">
        <v>290</v>
      </c>
      <c r="C34" s="6">
        <v>0</v>
      </c>
      <c r="D34" s="5"/>
      <c r="E34" s="90"/>
      <c r="F34" s="102" t="s">
        <v>24</v>
      </c>
      <c r="G34" s="100">
        <v>1</v>
      </c>
      <c r="I34" s="13" t="s">
        <v>290</v>
      </c>
      <c r="J34" s="14">
        <f t="shared" ca="1" si="0"/>
        <v>0</v>
      </c>
      <c r="K34" s="4">
        <f t="shared" ca="1" si="1"/>
        <v>0</v>
      </c>
      <c r="L34" s="73">
        <f t="shared" ca="1" si="2"/>
        <v>0</v>
      </c>
      <c r="M34" s="6">
        <f t="shared" si="3"/>
        <v>1</v>
      </c>
      <c r="N34">
        <v>0</v>
      </c>
    </row>
    <row r="35" spans="1:15">
      <c r="B35" s="13" t="s">
        <v>291</v>
      </c>
      <c r="C35" s="6">
        <v>0</v>
      </c>
      <c r="D35" s="5"/>
      <c r="E35" s="90">
        <v>43378</v>
      </c>
      <c r="F35" s="102" t="s">
        <v>50</v>
      </c>
      <c r="G35" s="100">
        <v>1</v>
      </c>
      <c r="I35" s="13" t="s">
        <v>291</v>
      </c>
      <c r="J35" s="14">
        <f t="shared" ca="1" si="0"/>
        <v>0</v>
      </c>
      <c r="K35" s="4">
        <f t="shared" ca="1" si="1"/>
        <v>0</v>
      </c>
      <c r="L35" s="73">
        <f t="shared" ca="1" si="2"/>
        <v>0</v>
      </c>
      <c r="M35" s="6">
        <f t="shared" si="3"/>
        <v>1</v>
      </c>
      <c r="N35">
        <v>0</v>
      </c>
    </row>
    <row r="36" spans="1:15">
      <c r="B36" s="13" t="s">
        <v>292</v>
      </c>
      <c r="C36" s="6">
        <v>3</v>
      </c>
      <c r="D36" s="5"/>
      <c r="E36" s="95"/>
      <c r="F36" s="102" t="s">
        <v>68</v>
      </c>
      <c r="G36" s="100">
        <v>3</v>
      </c>
      <c r="I36" s="13" t="s">
        <v>292</v>
      </c>
      <c r="J36" s="14">
        <f t="shared" ca="1" si="0"/>
        <v>3</v>
      </c>
      <c r="K36" s="4">
        <f t="shared" ca="1" si="1"/>
        <v>0</v>
      </c>
      <c r="L36" s="73">
        <f t="shared" ca="1" si="2"/>
        <v>3</v>
      </c>
      <c r="M36" s="6">
        <f t="shared" si="3"/>
        <v>1</v>
      </c>
      <c r="N36">
        <v>3</v>
      </c>
    </row>
    <row r="37" spans="1:15">
      <c r="B37" s="13" t="s">
        <v>293</v>
      </c>
      <c r="C37" s="6">
        <v>0</v>
      </c>
      <c r="D37" s="5"/>
      <c r="E37" s="90"/>
      <c r="F37" s="102" t="s">
        <v>498</v>
      </c>
      <c r="G37" s="100">
        <v>1</v>
      </c>
      <c r="I37" s="13" t="s">
        <v>293</v>
      </c>
      <c r="J37" s="14">
        <f t="shared" ca="1" si="0"/>
        <v>0</v>
      </c>
      <c r="K37" s="4">
        <f t="shared" ca="1" si="1"/>
        <v>0</v>
      </c>
      <c r="L37" s="73">
        <f t="shared" ca="1" si="2"/>
        <v>0</v>
      </c>
      <c r="M37" s="6">
        <f t="shared" si="3"/>
        <v>1</v>
      </c>
      <c r="N37">
        <v>0</v>
      </c>
    </row>
    <row r="38" spans="1:15">
      <c r="B38" s="13" t="s">
        <v>294</v>
      </c>
      <c r="C38" s="6">
        <v>13</v>
      </c>
      <c r="D38" s="5"/>
      <c r="E38" s="95"/>
      <c r="F38" s="102" t="s">
        <v>44</v>
      </c>
      <c r="G38" s="100">
        <v>1</v>
      </c>
      <c r="I38" s="13" t="s">
        <v>294</v>
      </c>
      <c r="J38" s="14">
        <f t="shared" ca="1" si="0"/>
        <v>13</v>
      </c>
      <c r="K38" s="4">
        <f t="shared" ca="1" si="1"/>
        <v>2</v>
      </c>
      <c r="L38" s="73">
        <f t="shared" ca="1" si="2"/>
        <v>11</v>
      </c>
      <c r="M38" s="6">
        <f t="shared" si="3"/>
        <v>1</v>
      </c>
      <c r="N38">
        <v>13</v>
      </c>
    </row>
    <row r="39" spans="1:15">
      <c r="A39" s="7"/>
      <c r="B39" s="13" t="s">
        <v>295</v>
      </c>
      <c r="C39" s="6">
        <v>0</v>
      </c>
      <c r="D39" s="5"/>
      <c r="E39" s="98"/>
      <c r="F39" s="102" t="s">
        <v>359</v>
      </c>
      <c r="G39" s="100">
        <v>1</v>
      </c>
      <c r="H39" s="91"/>
      <c r="I39" s="13" t="s">
        <v>295</v>
      </c>
      <c r="J39" s="14">
        <f t="shared" ca="1" si="0"/>
        <v>0</v>
      </c>
      <c r="K39" s="4">
        <f t="shared" ca="1" si="1"/>
        <v>0</v>
      </c>
      <c r="L39" s="73">
        <f t="shared" ca="1" si="2"/>
        <v>0</v>
      </c>
      <c r="M39" s="6">
        <f t="shared" si="3"/>
        <v>1</v>
      </c>
      <c r="N39">
        <v>0</v>
      </c>
    </row>
    <row r="40" spans="1:15">
      <c r="B40" s="13" t="s">
        <v>296</v>
      </c>
      <c r="C40" s="6">
        <v>0</v>
      </c>
      <c r="D40" s="5"/>
      <c r="E40" s="100"/>
      <c r="F40" s="102" t="s">
        <v>259</v>
      </c>
      <c r="G40" s="100">
        <v>1</v>
      </c>
      <c r="H40" s="91"/>
      <c r="I40" s="13" t="s">
        <v>296</v>
      </c>
      <c r="J40" s="14">
        <f t="shared" ca="1" si="0"/>
        <v>0</v>
      </c>
      <c r="K40" s="4">
        <f t="shared" ca="1" si="1"/>
        <v>0</v>
      </c>
      <c r="L40" s="73">
        <f t="shared" ca="1" si="2"/>
        <v>0</v>
      </c>
      <c r="M40" s="6">
        <f t="shared" si="3"/>
        <v>1</v>
      </c>
      <c r="N40">
        <v>0</v>
      </c>
    </row>
    <row r="41" spans="1:15" s="99" customFormat="1">
      <c r="A41" s="97"/>
      <c r="B41" s="102" t="s">
        <v>817</v>
      </c>
      <c r="C41" s="6">
        <v>0</v>
      </c>
      <c r="D41" s="5"/>
      <c r="E41" s="95"/>
      <c r="F41" s="104" t="s">
        <v>690</v>
      </c>
      <c r="G41" s="100">
        <v>1</v>
      </c>
      <c r="H41" s="91"/>
      <c r="I41" s="102" t="s">
        <v>817</v>
      </c>
      <c r="J41" s="103">
        <f t="shared" ref="J41:J42" ca="1" si="5">SUMIF(B:C,I41,C:C)</f>
        <v>0</v>
      </c>
      <c r="K41" s="100">
        <f t="shared" ca="1" si="1"/>
        <v>0</v>
      </c>
      <c r="L41" s="101">
        <f t="shared" ref="L41:L42" ca="1" si="6">J41-K41</f>
        <v>0</v>
      </c>
      <c r="M41" s="6"/>
      <c r="N41" s="99">
        <v>0</v>
      </c>
      <c r="O41" s="6"/>
    </row>
    <row r="42" spans="1:15" s="99" customFormat="1">
      <c r="A42" s="97"/>
      <c r="B42" s="102" t="s">
        <v>818</v>
      </c>
      <c r="C42" s="6">
        <v>0</v>
      </c>
      <c r="D42" s="5"/>
      <c r="E42" s="90">
        <v>43379</v>
      </c>
      <c r="F42" s="102" t="s">
        <v>294</v>
      </c>
      <c r="G42" s="100">
        <v>2</v>
      </c>
      <c r="H42" s="91"/>
      <c r="I42" s="102" t="s">
        <v>818</v>
      </c>
      <c r="J42" s="103">
        <f t="shared" ca="1" si="5"/>
        <v>0</v>
      </c>
      <c r="K42" s="100">
        <f t="shared" ca="1" si="1"/>
        <v>0</v>
      </c>
      <c r="L42" s="101">
        <f t="shared" ca="1" si="6"/>
        <v>0</v>
      </c>
      <c r="M42" s="6"/>
      <c r="N42" s="99">
        <v>0</v>
      </c>
      <c r="O42" s="6"/>
    </row>
    <row r="43" spans="1:15">
      <c r="B43" s="13" t="s">
        <v>297</v>
      </c>
      <c r="C43" s="6">
        <v>4</v>
      </c>
      <c r="D43" s="5"/>
      <c r="E43" s="90"/>
      <c r="F43" s="104" t="s">
        <v>690</v>
      </c>
      <c r="G43" s="100">
        <v>12</v>
      </c>
      <c r="H43" s="91"/>
      <c r="I43" s="13" t="s">
        <v>297</v>
      </c>
      <c r="J43" s="14">
        <f ca="1">SUMIF(B:C,I43,C:C)</f>
        <v>4</v>
      </c>
      <c r="K43" s="4">
        <f t="shared" ca="1" si="1"/>
        <v>0</v>
      </c>
      <c r="L43" s="73">
        <f t="shared" ca="1" si="2"/>
        <v>4</v>
      </c>
      <c r="M43" s="6">
        <f t="shared" si="3"/>
        <v>1</v>
      </c>
      <c r="N43">
        <v>4</v>
      </c>
    </row>
    <row r="44" spans="1:15">
      <c r="B44" s="13" t="s">
        <v>276</v>
      </c>
      <c r="C44" s="6">
        <v>79</v>
      </c>
      <c r="D44" s="5"/>
      <c r="E44" s="98"/>
      <c r="F44" s="102" t="s">
        <v>330</v>
      </c>
      <c r="G44" s="100">
        <v>5</v>
      </c>
      <c r="H44" s="110"/>
      <c r="I44" s="13" t="s">
        <v>276</v>
      </c>
      <c r="J44" s="14">
        <f ca="1">SUMIF(B:C,I44,C:C)</f>
        <v>79</v>
      </c>
      <c r="K44" s="4">
        <f t="shared" ca="1" si="1"/>
        <v>0</v>
      </c>
      <c r="L44" s="73">
        <f t="shared" ca="1" si="2"/>
        <v>79</v>
      </c>
      <c r="M44" s="6">
        <f t="shared" si="3"/>
        <v>1</v>
      </c>
      <c r="N44">
        <v>79</v>
      </c>
    </row>
    <row r="45" spans="1:15">
      <c r="B45" s="13" t="s">
        <v>298</v>
      </c>
      <c r="C45" s="6">
        <v>0</v>
      </c>
      <c r="D45" s="5"/>
      <c r="E45" s="90"/>
      <c r="F45" s="102" t="s">
        <v>44</v>
      </c>
      <c r="G45" s="100">
        <v>2</v>
      </c>
      <c r="H45" s="91"/>
      <c r="I45" s="13" t="s">
        <v>298</v>
      </c>
      <c r="J45" s="14">
        <f ca="1">SUMIF(B:C,I45,C:C)</f>
        <v>0</v>
      </c>
      <c r="K45" s="4">
        <f t="shared" ca="1" si="1"/>
        <v>0</v>
      </c>
      <c r="L45" s="73">
        <f t="shared" ca="1" si="2"/>
        <v>0</v>
      </c>
      <c r="M45" s="6">
        <f t="shared" si="3"/>
        <v>1</v>
      </c>
      <c r="N45">
        <v>0</v>
      </c>
    </row>
    <row r="46" spans="1:15">
      <c r="B46" s="13" t="s">
        <v>299</v>
      </c>
      <c r="C46" s="6">
        <v>18</v>
      </c>
      <c r="D46" s="5"/>
      <c r="E46" s="90"/>
      <c r="F46" s="102" t="s">
        <v>43</v>
      </c>
      <c r="G46" s="100">
        <v>2</v>
      </c>
      <c r="H46" s="91"/>
      <c r="I46" s="13" t="s">
        <v>299</v>
      </c>
      <c r="J46" s="14">
        <f ca="1">SUMIF(B:C,I46,C:C)</f>
        <v>18</v>
      </c>
      <c r="K46" s="4">
        <f t="shared" ca="1" si="1"/>
        <v>1</v>
      </c>
      <c r="L46" s="73">
        <f t="shared" ca="1" si="2"/>
        <v>17</v>
      </c>
      <c r="M46" s="6">
        <f t="shared" si="3"/>
        <v>1</v>
      </c>
      <c r="N46">
        <v>18</v>
      </c>
    </row>
    <row r="47" spans="1:15">
      <c r="B47" s="13" t="s">
        <v>300</v>
      </c>
      <c r="C47" s="6">
        <v>0</v>
      </c>
      <c r="D47" s="5"/>
      <c r="E47" s="95"/>
      <c r="F47" s="102" t="s">
        <v>372</v>
      </c>
      <c r="G47" s="100">
        <v>2</v>
      </c>
      <c r="H47" s="91"/>
      <c r="I47" s="13" t="s">
        <v>300</v>
      </c>
      <c r="K47" s="4">
        <f t="shared" ca="1" si="1"/>
        <v>0</v>
      </c>
      <c r="L47" s="73">
        <f t="shared" ca="1" si="2"/>
        <v>0</v>
      </c>
      <c r="M47" s="6">
        <f t="shared" si="3"/>
        <v>1</v>
      </c>
      <c r="N47">
        <v>0</v>
      </c>
    </row>
    <row r="48" spans="1:15">
      <c r="A48" s="7"/>
      <c r="B48" s="13" t="s">
        <v>301</v>
      </c>
      <c r="C48" s="6">
        <v>0</v>
      </c>
      <c r="D48" s="5"/>
      <c r="E48" s="90"/>
      <c r="F48" s="102" t="s">
        <v>258</v>
      </c>
      <c r="G48" s="100">
        <v>6</v>
      </c>
      <c r="I48" s="13" t="s">
        <v>301</v>
      </c>
      <c r="J48" s="14">
        <f t="shared" ref="J48:J79" ca="1" si="7">SUMIF(B:C,I48,C:C)</f>
        <v>0</v>
      </c>
      <c r="K48" s="4">
        <f t="shared" ca="1" si="1"/>
        <v>0</v>
      </c>
      <c r="L48" s="73">
        <f t="shared" ca="1" si="2"/>
        <v>0</v>
      </c>
      <c r="M48" s="6">
        <f t="shared" si="3"/>
        <v>1</v>
      </c>
      <c r="N48">
        <v>0</v>
      </c>
    </row>
    <row r="49" spans="1:14">
      <c r="A49" s="7"/>
      <c r="B49" s="13" t="s">
        <v>302</v>
      </c>
      <c r="C49" s="6">
        <v>3</v>
      </c>
      <c r="D49" s="5"/>
      <c r="E49" s="90">
        <v>43382</v>
      </c>
      <c r="F49" s="104" t="s">
        <v>690</v>
      </c>
      <c r="G49" s="100">
        <v>8</v>
      </c>
      <c r="H49" s="19"/>
      <c r="I49" s="13" t="s">
        <v>302</v>
      </c>
      <c r="J49" s="14">
        <f t="shared" ca="1" si="7"/>
        <v>3</v>
      </c>
      <c r="K49" s="4">
        <f t="shared" ca="1" si="1"/>
        <v>0</v>
      </c>
      <c r="L49" s="73">
        <f t="shared" ca="1" si="2"/>
        <v>3</v>
      </c>
      <c r="M49" s="6">
        <f t="shared" si="3"/>
        <v>1</v>
      </c>
      <c r="N49">
        <v>3</v>
      </c>
    </row>
    <row r="50" spans="1:14">
      <c r="A50" s="7"/>
      <c r="B50" s="13" t="s">
        <v>303</v>
      </c>
      <c r="C50" s="6">
        <v>0</v>
      </c>
      <c r="D50" s="5"/>
      <c r="E50" s="90"/>
      <c r="F50" s="102" t="s">
        <v>48</v>
      </c>
      <c r="G50" s="100">
        <v>4</v>
      </c>
      <c r="I50" s="13" t="s">
        <v>303</v>
      </c>
      <c r="J50" s="14">
        <f t="shared" ca="1" si="7"/>
        <v>0</v>
      </c>
      <c r="K50" s="4">
        <f t="shared" ca="1" si="1"/>
        <v>0</v>
      </c>
      <c r="L50" s="73">
        <f t="shared" ca="1" si="2"/>
        <v>0</v>
      </c>
      <c r="M50" s="6">
        <f t="shared" si="3"/>
        <v>1</v>
      </c>
      <c r="N50">
        <v>0</v>
      </c>
    </row>
    <row r="51" spans="1:14">
      <c r="B51" s="13" t="s">
        <v>304</v>
      </c>
      <c r="C51" s="6">
        <v>7</v>
      </c>
      <c r="D51" s="5"/>
      <c r="E51" s="90"/>
      <c r="F51" s="105" t="s">
        <v>346</v>
      </c>
      <c r="G51" s="100">
        <v>1</v>
      </c>
      <c r="I51" s="13" t="s">
        <v>304</v>
      </c>
      <c r="J51" s="14">
        <f t="shared" ca="1" si="7"/>
        <v>7</v>
      </c>
      <c r="K51" s="4">
        <f t="shared" ca="1" si="1"/>
        <v>0</v>
      </c>
      <c r="L51" s="73">
        <f t="shared" ca="1" si="2"/>
        <v>7</v>
      </c>
      <c r="M51" s="6">
        <f t="shared" si="3"/>
        <v>1</v>
      </c>
      <c r="N51">
        <v>7</v>
      </c>
    </row>
    <row r="52" spans="1:14">
      <c r="B52" s="13" t="s">
        <v>305</v>
      </c>
      <c r="C52" s="6">
        <v>0</v>
      </c>
      <c r="D52" s="5"/>
      <c r="E52" s="98"/>
      <c r="F52" s="102" t="s">
        <v>692</v>
      </c>
      <c r="G52" s="100">
        <v>1</v>
      </c>
      <c r="I52" s="13" t="s">
        <v>305</v>
      </c>
      <c r="J52" s="14">
        <f t="shared" ca="1" si="7"/>
        <v>0</v>
      </c>
      <c r="K52" s="4">
        <f t="shared" ca="1" si="1"/>
        <v>0</v>
      </c>
      <c r="L52" s="73">
        <f t="shared" ca="1" si="2"/>
        <v>0</v>
      </c>
      <c r="M52" s="6">
        <f t="shared" si="3"/>
        <v>1</v>
      </c>
      <c r="N52">
        <v>0</v>
      </c>
    </row>
    <row r="53" spans="1:14">
      <c r="B53" s="13" t="s">
        <v>9</v>
      </c>
      <c r="C53" s="6">
        <v>0</v>
      </c>
      <c r="D53" s="5"/>
      <c r="E53" s="98"/>
      <c r="F53" s="102" t="s">
        <v>258</v>
      </c>
      <c r="G53" s="100">
        <v>2</v>
      </c>
      <c r="I53" s="13" t="s">
        <v>9</v>
      </c>
      <c r="J53" s="14">
        <f t="shared" ca="1" si="7"/>
        <v>0</v>
      </c>
      <c r="K53" s="4">
        <f t="shared" ca="1" si="1"/>
        <v>0</v>
      </c>
      <c r="L53" s="73">
        <f t="shared" ca="1" si="2"/>
        <v>0</v>
      </c>
      <c r="M53" s="6">
        <f t="shared" si="3"/>
        <v>1</v>
      </c>
      <c r="N53">
        <v>0</v>
      </c>
    </row>
    <row r="54" spans="1:14">
      <c r="B54" s="13" t="s">
        <v>277</v>
      </c>
      <c r="C54" s="6">
        <v>1</v>
      </c>
      <c r="D54" s="5"/>
      <c r="E54" s="90"/>
      <c r="F54" s="102" t="s">
        <v>809</v>
      </c>
      <c r="G54" s="100">
        <v>1</v>
      </c>
      <c r="I54" s="13" t="s">
        <v>277</v>
      </c>
      <c r="J54" s="14">
        <f t="shared" ca="1" si="7"/>
        <v>1</v>
      </c>
      <c r="K54" s="4">
        <f t="shared" ca="1" si="1"/>
        <v>0</v>
      </c>
      <c r="L54" s="73">
        <f t="shared" ca="1" si="2"/>
        <v>1</v>
      </c>
      <c r="M54" s="6">
        <f t="shared" si="3"/>
        <v>1</v>
      </c>
      <c r="N54">
        <v>1</v>
      </c>
    </row>
    <row r="55" spans="1:14">
      <c r="A55" s="7"/>
      <c r="B55" s="13" t="s">
        <v>694</v>
      </c>
      <c r="C55" s="6">
        <v>0</v>
      </c>
      <c r="D55" s="5"/>
      <c r="E55" s="98"/>
      <c r="F55" s="102" t="s">
        <v>67</v>
      </c>
      <c r="G55" s="100">
        <v>1</v>
      </c>
      <c r="I55" s="13" t="s">
        <v>694</v>
      </c>
      <c r="J55" s="14">
        <f t="shared" ca="1" si="7"/>
        <v>0</v>
      </c>
      <c r="K55" s="4">
        <f t="shared" ca="1" si="1"/>
        <v>0</v>
      </c>
      <c r="L55" s="73">
        <f t="shared" ca="1" si="2"/>
        <v>0</v>
      </c>
      <c r="M55" s="6">
        <f t="shared" si="3"/>
        <v>1</v>
      </c>
      <c r="N55">
        <v>0</v>
      </c>
    </row>
    <row r="56" spans="1:14">
      <c r="B56" s="13" t="s">
        <v>77</v>
      </c>
      <c r="C56" s="6">
        <v>2</v>
      </c>
      <c r="D56" s="5"/>
      <c r="E56" s="90"/>
      <c r="F56" s="102" t="s">
        <v>68</v>
      </c>
      <c r="G56" s="100">
        <v>2</v>
      </c>
      <c r="I56" s="13" t="s">
        <v>77</v>
      </c>
      <c r="J56" s="14">
        <f t="shared" ca="1" si="7"/>
        <v>2</v>
      </c>
      <c r="K56" s="4">
        <f t="shared" ca="1" si="1"/>
        <v>0</v>
      </c>
      <c r="L56" s="73">
        <f t="shared" ca="1" si="2"/>
        <v>2</v>
      </c>
      <c r="M56" s="6">
        <f t="shared" si="3"/>
        <v>1</v>
      </c>
      <c r="N56">
        <v>2</v>
      </c>
    </row>
    <row r="57" spans="1:14">
      <c r="A57" s="7"/>
      <c r="B57" s="4" t="s">
        <v>711</v>
      </c>
      <c r="C57" s="6">
        <v>0</v>
      </c>
      <c r="D57" s="5"/>
      <c r="E57" s="90"/>
      <c r="F57" s="102" t="s">
        <v>540</v>
      </c>
      <c r="G57" s="100">
        <v>1</v>
      </c>
      <c r="I57" s="4" t="s">
        <v>711</v>
      </c>
      <c r="J57" s="14">
        <f t="shared" ca="1" si="7"/>
        <v>0</v>
      </c>
      <c r="K57" s="4">
        <f t="shared" ca="1" si="1"/>
        <v>0</v>
      </c>
      <c r="L57" s="73">
        <f t="shared" ca="1" si="2"/>
        <v>0</v>
      </c>
      <c r="M57" s="6">
        <f t="shared" si="3"/>
        <v>1</v>
      </c>
      <c r="N57">
        <v>0</v>
      </c>
    </row>
    <row r="58" spans="1:14">
      <c r="B58" s="4" t="s">
        <v>712</v>
      </c>
      <c r="C58" s="6">
        <v>0</v>
      </c>
      <c r="D58" s="5"/>
      <c r="E58" s="98"/>
      <c r="F58" s="102" t="s">
        <v>23</v>
      </c>
      <c r="G58" s="100">
        <v>4</v>
      </c>
      <c r="I58" s="4" t="s">
        <v>712</v>
      </c>
      <c r="J58" s="14">
        <f t="shared" ca="1" si="7"/>
        <v>0</v>
      </c>
      <c r="K58" s="4">
        <f t="shared" ca="1" si="1"/>
        <v>0</v>
      </c>
      <c r="L58" s="73">
        <f t="shared" ca="1" si="2"/>
        <v>0</v>
      </c>
      <c r="M58" s="6">
        <f t="shared" si="3"/>
        <v>1</v>
      </c>
      <c r="N58">
        <v>0</v>
      </c>
    </row>
    <row r="59" spans="1:14">
      <c r="B59" s="11" t="s">
        <v>713</v>
      </c>
      <c r="C59" s="6">
        <v>0</v>
      </c>
      <c r="D59" s="5"/>
      <c r="E59" s="98"/>
      <c r="F59" s="102" t="s">
        <v>262</v>
      </c>
      <c r="G59" s="100">
        <v>1</v>
      </c>
      <c r="H59" s="19"/>
      <c r="I59" s="11" t="s">
        <v>713</v>
      </c>
      <c r="J59" s="14">
        <f t="shared" ca="1" si="7"/>
        <v>0</v>
      </c>
      <c r="K59" s="4">
        <f t="shared" ca="1" si="1"/>
        <v>0</v>
      </c>
      <c r="L59" s="73">
        <f t="shared" ca="1" si="2"/>
        <v>0</v>
      </c>
      <c r="M59" s="6">
        <f t="shared" si="3"/>
        <v>1</v>
      </c>
      <c r="N59">
        <v>0</v>
      </c>
    </row>
    <row r="60" spans="1:14">
      <c r="B60" s="13" t="s">
        <v>307</v>
      </c>
      <c r="C60" s="6">
        <v>1</v>
      </c>
      <c r="D60" s="5"/>
      <c r="E60" s="90">
        <v>43383</v>
      </c>
      <c r="F60" s="102" t="s">
        <v>204</v>
      </c>
      <c r="G60" s="100">
        <v>0.2</v>
      </c>
      <c r="H60" s="19"/>
      <c r="I60" s="13" t="s">
        <v>307</v>
      </c>
      <c r="J60" s="14">
        <f t="shared" ca="1" si="7"/>
        <v>1</v>
      </c>
      <c r="K60" s="4">
        <f t="shared" ca="1" si="1"/>
        <v>0</v>
      </c>
      <c r="L60" s="73">
        <f t="shared" ca="1" si="2"/>
        <v>1</v>
      </c>
      <c r="M60" s="6">
        <f t="shared" si="3"/>
        <v>1</v>
      </c>
      <c r="N60">
        <v>1</v>
      </c>
    </row>
    <row r="61" spans="1:14">
      <c r="B61" s="13" t="s">
        <v>308</v>
      </c>
      <c r="C61" s="6">
        <v>2</v>
      </c>
      <c r="D61" s="5"/>
      <c r="E61" s="98"/>
      <c r="F61" s="102" t="s">
        <v>42</v>
      </c>
      <c r="G61" s="100">
        <v>4</v>
      </c>
      <c r="H61" s="19"/>
      <c r="I61" s="13" t="s">
        <v>308</v>
      </c>
      <c r="J61" s="14">
        <f t="shared" ca="1" si="7"/>
        <v>2</v>
      </c>
      <c r="K61" s="4">
        <f t="shared" ca="1" si="1"/>
        <v>0</v>
      </c>
      <c r="L61" s="73">
        <f t="shared" ca="1" si="2"/>
        <v>2</v>
      </c>
      <c r="M61" s="6">
        <f t="shared" si="3"/>
        <v>1</v>
      </c>
      <c r="N61">
        <v>2</v>
      </c>
    </row>
    <row r="62" spans="1:14">
      <c r="B62" s="11" t="s">
        <v>714</v>
      </c>
      <c r="C62" s="6">
        <v>0</v>
      </c>
      <c r="D62" s="5"/>
      <c r="E62" s="90"/>
      <c r="F62" s="102" t="s">
        <v>41</v>
      </c>
      <c r="G62" s="100">
        <v>1</v>
      </c>
      <c r="H62" s="19"/>
      <c r="I62" s="11" t="s">
        <v>714</v>
      </c>
      <c r="J62" s="14">
        <f t="shared" ca="1" si="7"/>
        <v>0</v>
      </c>
      <c r="K62" s="4">
        <f t="shared" ca="1" si="1"/>
        <v>0</v>
      </c>
      <c r="L62" s="73">
        <f t="shared" ca="1" si="2"/>
        <v>0</v>
      </c>
      <c r="M62" s="6">
        <f t="shared" si="3"/>
        <v>1</v>
      </c>
      <c r="N62">
        <v>0</v>
      </c>
    </row>
    <row r="63" spans="1:14">
      <c r="A63" s="7"/>
      <c r="B63" s="13" t="s">
        <v>700</v>
      </c>
      <c r="C63" s="6">
        <v>0</v>
      </c>
      <c r="D63" s="5"/>
      <c r="E63" s="98"/>
      <c r="F63" s="102" t="s">
        <v>299</v>
      </c>
      <c r="G63" s="100">
        <v>1</v>
      </c>
      <c r="I63" s="13" t="s">
        <v>700</v>
      </c>
      <c r="J63" s="14">
        <f t="shared" ca="1" si="7"/>
        <v>0</v>
      </c>
      <c r="K63" s="4">
        <f t="shared" ca="1" si="1"/>
        <v>0</v>
      </c>
      <c r="L63" s="73">
        <f t="shared" ca="1" si="2"/>
        <v>0</v>
      </c>
      <c r="M63" s="6">
        <f t="shared" si="3"/>
        <v>1</v>
      </c>
      <c r="N63">
        <v>0</v>
      </c>
    </row>
    <row r="64" spans="1:14">
      <c r="B64" s="13" t="s">
        <v>309</v>
      </c>
      <c r="C64" s="6">
        <v>0</v>
      </c>
      <c r="D64" s="5"/>
      <c r="E64" s="98"/>
      <c r="F64" s="102" t="s">
        <v>809</v>
      </c>
      <c r="G64" s="100">
        <v>1</v>
      </c>
      <c r="I64" s="13" t="s">
        <v>309</v>
      </c>
      <c r="J64" s="14">
        <f t="shared" ca="1" si="7"/>
        <v>0</v>
      </c>
      <c r="K64" s="4">
        <f t="shared" ca="1" si="1"/>
        <v>0</v>
      </c>
      <c r="L64" s="73">
        <f t="shared" ca="1" si="2"/>
        <v>0</v>
      </c>
      <c r="M64" s="6">
        <f t="shared" si="3"/>
        <v>1</v>
      </c>
      <c r="N64">
        <v>0</v>
      </c>
    </row>
    <row r="65" spans="1:14">
      <c r="A65" s="7"/>
      <c r="B65" s="13" t="s">
        <v>310</v>
      </c>
      <c r="C65" s="6">
        <v>1</v>
      </c>
      <c r="D65" s="5"/>
      <c r="E65" s="100"/>
      <c r="F65" s="102" t="s">
        <v>57</v>
      </c>
      <c r="G65" s="100">
        <v>1</v>
      </c>
      <c r="I65" s="13" t="s">
        <v>310</v>
      </c>
      <c r="J65" s="14">
        <f t="shared" ca="1" si="7"/>
        <v>1</v>
      </c>
      <c r="K65" s="4">
        <f t="shared" ca="1" si="1"/>
        <v>0</v>
      </c>
      <c r="L65" s="73">
        <f t="shared" ca="1" si="2"/>
        <v>1</v>
      </c>
      <c r="M65" s="6">
        <f t="shared" si="3"/>
        <v>1</v>
      </c>
      <c r="N65">
        <v>1</v>
      </c>
    </row>
    <row r="66" spans="1:14">
      <c r="B66" s="13" t="s">
        <v>311</v>
      </c>
      <c r="C66" s="6">
        <v>0</v>
      </c>
      <c r="D66" s="5"/>
      <c r="E66" s="100"/>
      <c r="F66" s="102" t="s">
        <v>56</v>
      </c>
      <c r="G66" s="100">
        <v>1</v>
      </c>
      <c r="I66" s="13" t="s">
        <v>311</v>
      </c>
      <c r="J66" s="14">
        <f t="shared" ca="1" si="7"/>
        <v>0</v>
      </c>
      <c r="K66" s="4">
        <f t="shared" ref="K66:K129" ca="1" si="8">SUMIF(F:G,I66,G:G)</f>
        <v>0</v>
      </c>
      <c r="L66" s="73">
        <f t="shared" ca="1" si="2"/>
        <v>0</v>
      </c>
      <c r="M66" s="6">
        <f t="shared" si="3"/>
        <v>1</v>
      </c>
      <c r="N66">
        <v>0</v>
      </c>
    </row>
    <row r="67" spans="1:14">
      <c r="B67" s="13" t="s">
        <v>312</v>
      </c>
      <c r="C67" s="6">
        <v>0</v>
      </c>
      <c r="D67" s="5"/>
      <c r="E67" s="90"/>
      <c r="F67" s="102"/>
      <c r="G67" s="100"/>
      <c r="I67" s="13" t="s">
        <v>312</v>
      </c>
      <c r="J67" s="14">
        <f t="shared" ca="1" si="7"/>
        <v>0</v>
      </c>
      <c r="K67" s="4">
        <f t="shared" ca="1" si="8"/>
        <v>0</v>
      </c>
      <c r="L67" s="73">
        <f t="shared" ref="L67:L129" ca="1" si="9">J67-K67</f>
        <v>0</v>
      </c>
      <c r="M67" s="6">
        <f t="shared" si="3"/>
        <v>1</v>
      </c>
      <c r="N67">
        <v>0</v>
      </c>
    </row>
    <row r="68" spans="1:14">
      <c r="B68" s="13" t="s">
        <v>313</v>
      </c>
      <c r="C68" s="6">
        <v>0</v>
      </c>
      <c r="D68" s="5"/>
      <c r="E68" s="90"/>
      <c r="F68" s="102"/>
      <c r="G68" s="100"/>
      <c r="I68" s="13" t="s">
        <v>313</v>
      </c>
      <c r="J68" s="14">
        <f t="shared" ca="1" si="7"/>
        <v>0</v>
      </c>
      <c r="K68" s="4">
        <f t="shared" ca="1" si="8"/>
        <v>0</v>
      </c>
      <c r="L68" s="73">
        <f t="shared" ca="1" si="9"/>
        <v>0</v>
      </c>
      <c r="M68" s="6">
        <f t="shared" si="3"/>
        <v>1</v>
      </c>
      <c r="N68">
        <v>0</v>
      </c>
    </row>
    <row r="69" spans="1:14">
      <c r="B69" s="13" t="s">
        <v>314</v>
      </c>
      <c r="C69" s="6">
        <v>0</v>
      </c>
      <c r="D69" s="5"/>
      <c r="E69" s="90"/>
      <c r="F69" s="102"/>
      <c r="G69" s="102"/>
      <c r="I69" s="13" t="s">
        <v>314</v>
      </c>
      <c r="J69" s="14">
        <f t="shared" ca="1" si="7"/>
        <v>0</v>
      </c>
      <c r="K69" s="4">
        <f t="shared" ca="1" si="8"/>
        <v>0</v>
      </c>
      <c r="L69" s="73">
        <f t="shared" ca="1" si="9"/>
        <v>0</v>
      </c>
      <c r="M69" s="6">
        <f t="shared" ref="M69:M132" si="10">MATCH(I69,B69,0)</f>
        <v>1</v>
      </c>
      <c r="N69">
        <v>0</v>
      </c>
    </row>
    <row r="70" spans="1:14">
      <c r="B70" s="11" t="s">
        <v>706</v>
      </c>
      <c r="C70" s="6">
        <v>4</v>
      </c>
      <c r="D70" s="5"/>
      <c r="E70" s="90"/>
      <c r="F70" s="102"/>
      <c r="G70" s="102"/>
      <c r="I70" s="11" t="s">
        <v>706</v>
      </c>
      <c r="J70" s="14">
        <f t="shared" ca="1" si="7"/>
        <v>4</v>
      </c>
      <c r="K70" s="4">
        <f t="shared" ca="1" si="8"/>
        <v>0</v>
      </c>
      <c r="L70" s="73">
        <f t="shared" ca="1" si="9"/>
        <v>4</v>
      </c>
      <c r="M70" s="6">
        <f t="shared" si="10"/>
        <v>1</v>
      </c>
      <c r="N70">
        <v>4</v>
      </c>
    </row>
    <row r="71" spans="1:14">
      <c r="B71" s="13" t="s">
        <v>315</v>
      </c>
      <c r="C71" s="6">
        <v>0</v>
      </c>
      <c r="D71" s="5"/>
      <c r="E71" s="100"/>
      <c r="F71" s="102"/>
      <c r="G71" s="100"/>
      <c r="I71" s="13" t="s">
        <v>315</v>
      </c>
      <c r="J71" s="14">
        <f t="shared" ca="1" si="7"/>
        <v>0</v>
      </c>
      <c r="K71" s="4">
        <f t="shared" ca="1" si="8"/>
        <v>0</v>
      </c>
      <c r="L71" s="73">
        <f t="shared" ca="1" si="9"/>
        <v>0</v>
      </c>
      <c r="M71" s="6">
        <f t="shared" si="10"/>
        <v>1</v>
      </c>
      <c r="N71">
        <v>0</v>
      </c>
    </row>
    <row r="72" spans="1:14">
      <c r="B72" s="13" t="s">
        <v>316</v>
      </c>
      <c r="C72" s="6">
        <v>0</v>
      </c>
      <c r="D72" s="5"/>
      <c r="E72" s="98"/>
      <c r="F72" s="102"/>
      <c r="G72" s="100"/>
      <c r="I72" s="13" t="s">
        <v>316</v>
      </c>
      <c r="J72" s="14">
        <f t="shared" ca="1" si="7"/>
        <v>0</v>
      </c>
      <c r="K72" s="4">
        <f t="shared" ca="1" si="8"/>
        <v>0</v>
      </c>
      <c r="L72" s="73">
        <f t="shared" ca="1" si="9"/>
        <v>0</v>
      </c>
      <c r="M72" s="6">
        <f t="shared" si="10"/>
        <v>1</v>
      </c>
      <c r="N72">
        <v>0</v>
      </c>
    </row>
    <row r="73" spans="1:14">
      <c r="B73" s="13" t="s">
        <v>317</v>
      </c>
      <c r="C73" s="6">
        <v>0</v>
      </c>
      <c r="D73" s="5"/>
      <c r="E73" s="100"/>
      <c r="F73" s="102"/>
      <c r="G73" s="100"/>
      <c r="I73" s="13" t="s">
        <v>317</v>
      </c>
      <c r="J73" s="14">
        <f t="shared" ca="1" si="7"/>
        <v>0</v>
      </c>
      <c r="K73" s="4">
        <f t="shared" ca="1" si="8"/>
        <v>0</v>
      </c>
      <c r="L73" s="73">
        <f t="shared" ca="1" si="9"/>
        <v>0</v>
      </c>
      <c r="M73" s="6">
        <f t="shared" si="10"/>
        <v>1</v>
      </c>
      <c r="N73">
        <v>0</v>
      </c>
    </row>
    <row r="74" spans="1:14">
      <c r="A74" s="7"/>
      <c r="B74" s="13" t="s">
        <v>1</v>
      </c>
      <c r="C74" s="6">
        <v>0</v>
      </c>
      <c r="D74" s="5"/>
      <c r="E74" s="90"/>
      <c r="F74" s="102"/>
      <c r="G74" s="100"/>
      <c r="I74" s="13" t="s">
        <v>1</v>
      </c>
      <c r="J74" s="14">
        <f t="shared" ca="1" si="7"/>
        <v>0</v>
      </c>
      <c r="K74" s="4">
        <f t="shared" ca="1" si="8"/>
        <v>0</v>
      </c>
      <c r="L74" s="73">
        <f t="shared" ca="1" si="9"/>
        <v>0</v>
      </c>
      <c r="M74" s="6">
        <f t="shared" si="10"/>
        <v>1</v>
      </c>
      <c r="N74">
        <v>0</v>
      </c>
    </row>
    <row r="75" spans="1:14">
      <c r="B75" s="13" t="s">
        <v>318</v>
      </c>
      <c r="C75" s="6">
        <v>0</v>
      </c>
      <c r="D75" s="5"/>
      <c r="E75" s="12"/>
      <c r="F75" s="102"/>
      <c r="G75" s="100"/>
      <c r="I75" s="13" t="s">
        <v>318</v>
      </c>
      <c r="J75" s="14">
        <f t="shared" ca="1" si="7"/>
        <v>0</v>
      </c>
      <c r="K75" s="4">
        <f t="shared" ca="1" si="8"/>
        <v>0</v>
      </c>
      <c r="L75" s="73">
        <f t="shared" ca="1" si="9"/>
        <v>0</v>
      </c>
      <c r="M75" s="6">
        <f t="shared" si="10"/>
        <v>1</v>
      </c>
      <c r="N75">
        <v>0</v>
      </c>
    </row>
    <row r="76" spans="1:14">
      <c r="A76" s="7"/>
      <c r="B76" s="13" t="s">
        <v>319</v>
      </c>
      <c r="C76" s="6">
        <v>0</v>
      </c>
      <c r="D76" s="5"/>
      <c r="E76" s="90"/>
      <c r="F76" s="113"/>
      <c r="G76" s="100"/>
      <c r="I76" s="13" t="s">
        <v>319</v>
      </c>
      <c r="J76" s="14">
        <f t="shared" ca="1" si="7"/>
        <v>0</v>
      </c>
      <c r="K76" s="4">
        <f t="shared" ca="1" si="8"/>
        <v>0</v>
      </c>
      <c r="L76" s="73">
        <f t="shared" ca="1" si="9"/>
        <v>0</v>
      </c>
      <c r="M76" s="6">
        <f t="shared" si="10"/>
        <v>1</v>
      </c>
      <c r="N76">
        <v>0</v>
      </c>
    </row>
    <row r="77" spans="1:14">
      <c r="B77" s="13" t="s">
        <v>320</v>
      </c>
      <c r="C77" s="6">
        <v>0</v>
      </c>
      <c r="D77" s="5"/>
      <c r="E77" s="90"/>
      <c r="F77" s="102"/>
      <c r="G77" s="100"/>
      <c r="I77" s="13" t="s">
        <v>320</v>
      </c>
      <c r="J77" s="14">
        <f t="shared" ca="1" si="7"/>
        <v>0</v>
      </c>
      <c r="K77" s="4">
        <f t="shared" ca="1" si="8"/>
        <v>0</v>
      </c>
      <c r="L77" s="73">
        <f t="shared" ca="1" si="9"/>
        <v>0</v>
      </c>
      <c r="M77" s="6">
        <f t="shared" si="10"/>
        <v>1</v>
      </c>
      <c r="N77">
        <v>0</v>
      </c>
    </row>
    <row r="78" spans="1:14">
      <c r="B78" s="13" t="s">
        <v>278</v>
      </c>
      <c r="C78" s="6">
        <v>0</v>
      </c>
      <c r="D78" s="5"/>
      <c r="E78" s="90"/>
      <c r="F78" s="102"/>
      <c r="G78" s="100"/>
      <c r="I78" s="13" t="s">
        <v>278</v>
      </c>
      <c r="J78" s="14">
        <f t="shared" ca="1" si="7"/>
        <v>0</v>
      </c>
      <c r="K78" s="4">
        <f t="shared" ca="1" si="8"/>
        <v>0</v>
      </c>
      <c r="L78" s="73">
        <f t="shared" ca="1" si="9"/>
        <v>0</v>
      </c>
      <c r="M78" s="6">
        <f t="shared" si="10"/>
        <v>1</v>
      </c>
      <c r="N78">
        <v>0</v>
      </c>
    </row>
    <row r="79" spans="1:14">
      <c r="B79" s="13" t="s">
        <v>63</v>
      </c>
      <c r="C79" s="6">
        <v>16</v>
      </c>
      <c r="D79" s="5"/>
      <c r="E79" s="100"/>
      <c r="F79" s="102"/>
      <c r="G79" s="100"/>
      <c r="I79" s="13" t="s">
        <v>63</v>
      </c>
      <c r="J79" s="14">
        <f t="shared" ca="1" si="7"/>
        <v>16</v>
      </c>
      <c r="K79" s="4">
        <f t="shared" ca="1" si="8"/>
        <v>0</v>
      </c>
      <c r="L79" s="73">
        <f t="shared" ca="1" si="9"/>
        <v>16</v>
      </c>
      <c r="M79" s="6">
        <f t="shared" si="10"/>
        <v>1</v>
      </c>
      <c r="N79">
        <v>16</v>
      </c>
    </row>
    <row r="80" spans="1:14">
      <c r="B80" s="73" t="s">
        <v>64</v>
      </c>
      <c r="C80" s="6">
        <v>17</v>
      </c>
      <c r="D80" s="5"/>
      <c r="E80" s="90"/>
      <c r="F80" s="102"/>
      <c r="G80" s="100"/>
      <c r="I80" s="73" t="s">
        <v>64</v>
      </c>
      <c r="J80" s="14">
        <f t="shared" ref="J80:J111" ca="1" si="11">SUMIF(B:C,I80,C:C)</f>
        <v>17</v>
      </c>
      <c r="K80" s="4">
        <f t="shared" ca="1" si="8"/>
        <v>1</v>
      </c>
      <c r="L80" s="73">
        <f t="shared" ca="1" si="9"/>
        <v>16</v>
      </c>
      <c r="M80" s="6">
        <f t="shared" si="10"/>
        <v>1</v>
      </c>
      <c r="N80">
        <v>17</v>
      </c>
    </row>
    <row r="81" spans="1:14">
      <c r="B81" s="73" t="s">
        <v>321</v>
      </c>
      <c r="C81" s="6">
        <v>0</v>
      </c>
      <c r="D81" s="5"/>
      <c r="E81" s="100"/>
      <c r="F81" s="102"/>
      <c r="G81" s="100"/>
      <c r="I81" s="73" t="s">
        <v>321</v>
      </c>
      <c r="J81" s="14">
        <f t="shared" ca="1" si="11"/>
        <v>0</v>
      </c>
      <c r="K81" s="4">
        <f t="shared" ca="1" si="8"/>
        <v>0</v>
      </c>
      <c r="L81" s="73">
        <f t="shared" ca="1" si="9"/>
        <v>0</v>
      </c>
      <c r="M81" s="6">
        <f t="shared" si="10"/>
        <v>1</v>
      </c>
      <c r="N81">
        <v>0</v>
      </c>
    </row>
    <row r="82" spans="1:14">
      <c r="A82" s="7"/>
      <c r="B82" s="73" t="s">
        <v>322</v>
      </c>
      <c r="C82" s="6">
        <v>0</v>
      </c>
      <c r="D82" s="5"/>
      <c r="E82" s="90"/>
      <c r="F82" s="102"/>
      <c r="G82" s="103"/>
      <c r="I82" s="73" t="s">
        <v>322</v>
      </c>
      <c r="J82" s="14">
        <f t="shared" ca="1" si="11"/>
        <v>0</v>
      </c>
      <c r="K82" s="4">
        <f t="shared" ca="1" si="8"/>
        <v>0</v>
      </c>
      <c r="L82" s="73">
        <f t="shared" ca="1" si="9"/>
        <v>0</v>
      </c>
      <c r="M82" s="6">
        <f t="shared" si="10"/>
        <v>1</v>
      </c>
      <c r="N82">
        <v>0</v>
      </c>
    </row>
    <row r="83" spans="1:14">
      <c r="B83" s="73" t="s">
        <v>323</v>
      </c>
      <c r="C83" s="6">
        <v>0</v>
      </c>
      <c r="D83" s="5"/>
      <c r="E83" s="100"/>
      <c r="F83" s="104"/>
      <c r="G83" s="103"/>
      <c r="I83" s="73" t="s">
        <v>323</v>
      </c>
      <c r="J83" s="14">
        <f t="shared" ca="1" si="11"/>
        <v>0</v>
      </c>
      <c r="K83" s="4">
        <f t="shared" ca="1" si="8"/>
        <v>0</v>
      </c>
      <c r="L83" s="73">
        <f t="shared" ca="1" si="9"/>
        <v>0</v>
      </c>
      <c r="M83" s="6">
        <f t="shared" si="10"/>
        <v>1</v>
      </c>
      <c r="N83">
        <v>0</v>
      </c>
    </row>
    <row r="84" spans="1:14">
      <c r="B84" s="73" t="s">
        <v>324</v>
      </c>
      <c r="C84" s="6">
        <v>0</v>
      </c>
      <c r="D84" s="5"/>
      <c r="E84" s="100"/>
      <c r="F84" s="102"/>
      <c r="G84" s="103"/>
      <c r="I84" s="73" t="s">
        <v>324</v>
      </c>
      <c r="J84" s="14">
        <f t="shared" ca="1" si="11"/>
        <v>0</v>
      </c>
      <c r="K84" s="4">
        <f t="shared" ca="1" si="8"/>
        <v>0</v>
      </c>
      <c r="L84" s="73">
        <f t="shared" ca="1" si="9"/>
        <v>0</v>
      </c>
      <c r="M84" s="6">
        <f t="shared" si="10"/>
        <v>1</v>
      </c>
      <c r="N84">
        <v>0</v>
      </c>
    </row>
    <row r="85" spans="1:14">
      <c r="A85" s="7"/>
      <c r="B85" s="73" t="s">
        <v>325</v>
      </c>
      <c r="C85" s="6">
        <v>0</v>
      </c>
      <c r="D85" s="5"/>
      <c r="E85" s="90"/>
      <c r="F85" s="102"/>
      <c r="G85" s="102"/>
      <c r="I85" s="73" t="s">
        <v>325</v>
      </c>
      <c r="J85" s="14">
        <f t="shared" ca="1" si="11"/>
        <v>0</v>
      </c>
      <c r="K85" s="4">
        <f t="shared" ca="1" si="8"/>
        <v>0</v>
      </c>
      <c r="L85" s="73">
        <f t="shared" ca="1" si="9"/>
        <v>0</v>
      </c>
      <c r="M85" s="6">
        <f t="shared" si="10"/>
        <v>1</v>
      </c>
      <c r="N85">
        <v>0</v>
      </c>
    </row>
    <row r="86" spans="1:14">
      <c r="B86" s="73" t="s">
        <v>326</v>
      </c>
      <c r="C86" s="6">
        <v>0</v>
      </c>
      <c r="D86" s="5"/>
      <c r="E86" s="100"/>
      <c r="F86" s="102"/>
      <c r="G86" s="102"/>
      <c r="I86" s="73" t="s">
        <v>326</v>
      </c>
      <c r="J86" s="14">
        <f t="shared" ca="1" si="11"/>
        <v>0</v>
      </c>
      <c r="K86" s="4">
        <f t="shared" ca="1" si="8"/>
        <v>0</v>
      </c>
      <c r="L86" s="73">
        <f t="shared" ca="1" si="9"/>
        <v>0</v>
      </c>
      <c r="M86" s="6">
        <f t="shared" si="10"/>
        <v>1</v>
      </c>
      <c r="N86">
        <v>0</v>
      </c>
    </row>
    <row r="87" spans="1:14">
      <c r="B87" s="73" t="s">
        <v>327</v>
      </c>
      <c r="C87" s="6">
        <v>0</v>
      </c>
      <c r="D87" s="5"/>
      <c r="E87" s="90"/>
      <c r="F87" s="102"/>
      <c r="G87" s="102"/>
      <c r="I87" s="73" t="s">
        <v>327</v>
      </c>
      <c r="J87" s="14">
        <f t="shared" ca="1" si="11"/>
        <v>0</v>
      </c>
      <c r="K87" s="4">
        <f t="shared" ca="1" si="8"/>
        <v>0</v>
      </c>
      <c r="L87" s="73">
        <f t="shared" ca="1" si="9"/>
        <v>0</v>
      </c>
      <c r="M87" s="6">
        <f t="shared" si="10"/>
        <v>1</v>
      </c>
      <c r="N87">
        <v>0</v>
      </c>
    </row>
    <row r="88" spans="1:14">
      <c r="A88" s="7"/>
      <c r="B88" s="73" t="s">
        <v>328</v>
      </c>
      <c r="C88" s="6">
        <v>0</v>
      </c>
      <c r="D88" s="5"/>
      <c r="E88" s="100"/>
      <c r="F88" s="102"/>
      <c r="G88" s="102"/>
      <c r="I88" s="73" t="s">
        <v>328</v>
      </c>
      <c r="J88" s="14">
        <f t="shared" ca="1" si="11"/>
        <v>0</v>
      </c>
      <c r="K88" s="4">
        <f t="shared" ca="1" si="8"/>
        <v>0</v>
      </c>
      <c r="L88" s="73">
        <f t="shared" ca="1" si="9"/>
        <v>0</v>
      </c>
      <c r="M88" s="6">
        <f t="shared" si="10"/>
        <v>1</v>
      </c>
      <c r="N88">
        <v>0</v>
      </c>
    </row>
    <row r="89" spans="1:14">
      <c r="A89" s="7"/>
      <c r="B89" s="73" t="s">
        <v>690</v>
      </c>
      <c r="C89" s="6">
        <v>66</v>
      </c>
      <c r="D89" s="5"/>
      <c r="E89" s="90"/>
      <c r="F89" s="105"/>
      <c r="G89" s="102"/>
      <c r="I89" s="73" t="s">
        <v>690</v>
      </c>
      <c r="J89" s="14">
        <f t="shared" ca="1" si="11"/>
        <v>66</v>
      </c>
      <c r="K89" s="4">
        <f t="shared" ca="1" si="8"/>
        <v>21</v>
      </c>
      <c r="L89" s="73">
        <f t="shared" ca="1" si="9"/>
        <v>45</v>
      </c>
      <c r="M89" s="6">
        <f t="shared" si="10"/>
        <v>1</v>
      </c>
      <c r="N89">
        <v>66</v>
      </c>
    </row>
    <row r="90" spans="1:14">
      <c r="A90" s="7"/>
      <c r="B90" s="73" t="s">
        <v>329</v>
      </c>
      <c r="C90" s="6">
        <v>0</v>
      </c>
      <c r="D90" s="5"/>
      <c r="E90" s="98"/>
      <c r="F90" s="113"/>
      <c r="G90" s="102"/>
      <c r="I90" s="73" t="s">
        <v>329</v>
      </c>
      <c r="J90" s="14">
        <f t="shared" ca="1" si="11"/>
        <v>0</v>
      </c>
      <c r="K90" s="4">
        <f t="shared" ca="1" si="8"/>
        <v>0</v>
      </c>
      <c r="L90" s="73">
        <f t="shared" ca="1" si="9"/>
        <v>0</v>
      </c>
      <c r="M90" s="6">
        <f t="shared" si="10"/>
        <v>1</v>
      </c>
      <c r="N90">
        <v>0</v>
      </c>
    </row>
    <row r="91" spans="1:14">
      <c r="A91" s="7"/>
      <c r="B91" s="73" t="s">
        <v>330</v>
      </c>
      <c r="C91" s="6">
        <v>110</v>
      </c>
      <c r="D91" s="5"/>
      <c r="E91" s="98"/>
      <c r="F91" s="105"/>
      <c r="G91" s="102"/>
      <c r="I91" s="73" t="s">
        <v>330</v>
      </c>
      <c r="J91" s="14">
        <f t="shared" ca="1" si="11"/>
        <v>110</v>
      </c>
      <c r="K91" s="4">
        <f t="shared" ca="1" si="8"/>
        <v>5</v>
      </c>
      <c r="L91" s="73">
        <f t="shared" ca="1" si="9"/>
        <v>105</v>
      </c>
      <c r="M91" s="6">
        <f t="shared" si="10"/>
        <v>1</v>
      </c>
      <c r="N91">
        <v>110</v>
      </c>
    </row>
    <row r="92" spans="1:14">
      <c r="A92" s="7"/>
      <c r="B92" s="73" t="s">
        <v>50</v>
      </c>
      <c r="C92" s="6">
        <v>81</v>
      </c>
      <c r="D92" s="5"/>
      <c r="E92" s="100"/>
      <c r="F92" s="102"/>
      <c r="G92" s="102"/>
      <c r="I92" s="73" t="s">
        <v>50</v>
      </c>
      <c r="J92" s="14">
        <f t="shared" ca="1" si="11"/>
        <v>81</v>
      </c>
      <c r="K92" s="4">
        <f t="shared" ca="1" si="8"/>
        <v>3</v>
      </c>
      <c r="L92" s="73">
        <f t="shared" ca="1" si="9"/>
        <v>78</v>
      </c>
      <c r="M92" s="6">
        <f t="shared" si="10"/>
        <v>1</v>
      </c>
      <c r="N92">
        <v>81</v>
      </c>
    </row>
    <row r="93" spans="1:14">
      <c r="A93" s="7"/>
      <c r="B93" s="73" t="s">
        <v>51</v>
      </c>
      <c r="C93" s="6">
        <v>0</v>
      </c>
      <c r="D93" s="5"/>
      <c r="E93" s="90"/>
      <c r="F93" s="102"/>
      <c r="G93" s="102"/>
      <c r="I93" s="73" t="s">
        <v>51</v>
      </c>
      <c r="J93" s="14">
        <f t="shared" ca="1" si="11"/>
        <v>0</v>
      </c>
      <c r="K93" s="4">
        <f t="shared" ca="1" si="8"/>
        <v>0</v>
      </c>
      <c r="L93" s="73">
        <f t="shared" ca="1" si="9"/>
        <v>0</v>
      </c>
      <c r="M93" s="6">
        <f t="shared" si="10"/>
        <v>1</v>
      </c>
      <c r="N93">
        <v>1</v>
      </c>
    </row>
    <row r="94" spans="1:14">
      <c r="B94" s="13" t="s">
        <v>52</v>
      </c>
      <c r="C94" s="6">
        <v>60</v>
      </c>
      <c r="D94" s="5"/>
      <c r="E94" s="95"/>
      <c r="F94" s="102"/>
      <c r="G94" s="102"/>
      <c r="I94" s="13" t="s">
        <v>52</v>
      </c>
      <c r="J94" s="14">
        <f t="shared" ca="1" si="11"/>
        <v>60</v>
      </c>
      <c r="K94" s="4">
        <f t="shared" ca="1" si="8"/>
        <v>2</v>
      </c>
      <c r="L94" s="73">
        <f t="shared" ca="1" si="9"/>
        <v>58</v>
      </c>
      <c r="M94" s="6">
        <f t="shared" si="10"/>
        <v>1</v>
      </c>
      <c r="N94">
        <v>60</v>
      </c>
    </row>
    <row r="95" spans="1:14">
      <c r="A95" s="7"/>
      <c r="B95" s="13" t="s">
        <v>78</v>
      </c>
      <c r="C95" s="6">
        <v>0</v>
      </c>
      <c r="D95" s="5"/>
      <c r="E95" s="98"/>
      <c r="F95" s="102"/>
      <c r="G95" s="102"/>
      <c r="I95" s="13" t="s">
        <v>78</v>
      </c>
      <c r="J95" s="14">
        <f t="shared" ca="1" si="11"/>
        <v>0</v>
      </c>
      <c r="K95" s="4">
        <f t="shared" ca="1" si="8"/>
        <v>0</v>
      </c>
      <c r="L95" s="73">
        <f t="shared" ca="1" si="9"/>
        <v>0</v>
      </c>
      <c r="M95" s="6">
        <f t="shared" si="10"/>
        <v>1</v>
      </c>
      <c r="N95">
        <v>0</v>
      </c>
    </row>
    <row r="96" spans="1:14">
      <c r="B96" s="13" t="s">
        <v>79</v>
      </c>
      <c r="C96" s="6">
        <v>99</v>
      </c>
      <c r="D96" s="5"/>
      <c r="E96" s="98"/>
      <c r="F96" s="102"/>
      <c r="G96" s="102"/>
      <c r="I96" s="13" t="s">
        <v>79</v>
      </c>
      <c r="J96" s="14">
        <f t="shared" ca="1" si="11"/>
        <v>99</v>
      </c>
      <c r="K96" s="4">
        <f t="shared" ca="1" si="8"/>
        <v>0</v>
      </c>
      <c r="L96" s="73">
        <f t="shared" ca="1" si="9"/>
        <v>99</v>
      </c>
      <c r="M96" s="6">
        <f t="shared" si="10"/>
        <v>1</v>
      </c>
      <c r="N96">
        <v>99</v>
      </c>
    </row>
    <row r="97" spans="1:14">
      <c r="B97" s="13" t="s">
        <v>80</v>
      </c>
      <c r="C97" s="6">
        <v>0</v>
      </c>
      <c r="D97" s="5"/>
      <c r="E97" s="90"/>
      <c r="F97" s="102"/>
      <c r="G97" s="102"/>
      <c r="I97" s="13" t="s">
        <v>80</v>
      </c>
      <c r="J97" s="14">
        <f t="shared" ca="1" si="11"/>
        <v>0</v>
      </c>
      <c r="K97" s="4">
        <f t="shared" ca="1" si="8"/>
        <v>0</v>
      </c>
      <c r="L97" s="73">
        <f t="shared" ca="1" si="9"/>
        <v>0</v>
      </c>
      <c r="M97" s="6">
        <f t="shared" si="10"/>
        <v>1</v>
      </c>
      <c r="N97">
        <v>0</v>
      </c>
    </row>
    <row r="98" spans="1:14">
      <c r="B98" s="13" t="s">
        <v>10</v>
      </c>
      <c r="C98" s="6">
        <v>0</v>
      </c>
      <c r="D98" s="5"/>
      <c r="E98" s="100"/>
      <c r="F98" s="102"/>
      <c r="G98" s="102"/>
      <c r="I98" s="13" t="s">
        <v>10</v>
      </c>
      <c r="J98" s="14">
        <f t="shared" ca="1" si="11"/>
        <v>0</v>
      </c>
      <c r="K98" s="4">
        <f t="shared" ca="1" si="8"/>
        <v>0</v>
      </c>
      <c r="L98" s="73">
        <f t="shared" ca="1" si="9"/>
        <v>0</v>
      </c>
      <c r="M98" s="6">
        <f t="shared" si="10"/>
        <v>1</v>
      </c>
      <c r="N98">
        <v>0</v>
      </c>
    </row>
    <row r="99" spans="1:14">
      <c r="B99" s="13" t="s">
        <v>81</v>
      </c>
      <c r="C99" s="6">
        <v>0</v>
      </c>
      <c r="D99" s="5"/>
      <c r="E99" s="90"/>
      <c r="F99" s="102"/>
      <c r="G99" s="100"/>
      <c r="I99" s="13" t="s">
        <v>81</v>
      </c>
      <c r="J99" s="14">
        <f t="shared" ca="1" si="11"/>
        <v>0</v>
      </c>
      <c r="K99" s="4">
        <f t="shared" ca="1" si="8"/>
        <v>0</v>
      </c>
      <c r="L99" s="73">
        <f t="shared" ca="1" si="9"/>
        <v>0</v>
      </c>
      <c r="M99" s="6">
        <f t="shared" si="10"/>
        <v>1</v>
      </c>
      <c r="N99">
        <v>0</v>
      </c>
    </row>
    <row r="100" spans="1:14">
      <c r="A100" s="7"/>
      <c r="B100" s="13" t="s">
        <v>679</v>
      </c>
      <c r="C100" s="6">
        <v>0</v>
      </c>
      <c r="D100" s="5"/>
      <c r="E100" s="100"/>
      <c r="F100" s="102"/>
      <c r="G100" s="100"/>
      <c r="I100" s="13" t="s">
        <v>679</v>
      </c>
      <c r="J100" s="14">
        <f t="shared" ca="1" si="11"/>
        <v>0</v>
      </c>
      <c r="K100" s="4">
        <f t="shared" ca="1" si="8"/>
        <v>0</v>
      </c>
      <c r="L100" s="73">
        <f t="shared" ca="1" si="9"/>
        <v>0</v>
      </c>
      <c r="M100" s="6">
        <f t="shared" si="10"/>
        <v>1</v>
      </c>
      <c r="N100">
        <v>0</v>
      </c>
    </row>
    <row r="101" spans="1:14">
      <c r="A101" s="7"/>
      <c r="B101" s="13" t="s">
        <v>331</v>
      </c>
      <c r="C101" s="6">
        <v>0</v>
      </c>
      <c r="D101" s="5"/>
      <c r="E101" s="100"/>
      <c r="F101" s="102"/>
      <c r="G101" s="100"/>
      <c r="I101" s="13" t="s">
        <v>331</v>
      </c>
      <c r="J101" s="14">
        <f t="shared" ca="1" si="11"/>
        <v>0</v>
      </c>
      <c r="K101" s="4">
        <f t="shared" ca="1" si="8"/>
        <v>0</v>
      </c>
      <c r="L101" s="73">
        <f t="shared" ca="1" si="9"/>
        <v>0</v>
      </c>
      <c r="M101" s="6">
        <f t="shared" si="10"/>
        <v>1</v>
      </c>
      <c r="N101">
        <v>0</v>
      </c>
    </row>
    <row r="102" spans="1:14">
      <c r="B102" s="13" t="s">
        <v>696</v>
      </c>
      <c r="C102" s="6">
        <v>0</v>
      </c>
      <c r="D102" s="5"/>
      <c r="E102" s="100"/>
      <c r="F102" s="102"/>
      <c r="G102" s="100"/>
      <c r="I102" s="13" t="s">
        <v>696</v>
      </c>
      <c r="J102" s="14">
        <f t="shared" ca="1" si="11"/>
        <v>0</v>
      </c>
      <c r="K102" s="4">
        <f t="shared" ca="1" si="8"/>
        <v>0</v>
      </c>
      <c r="L102" s="73">
        <f t="shared" ca="1" si="9"/>
        <v>0</v>
      </c>
      <c r="M102" s="6">
        <f t="shared" si="10"/>
        <v>1</v>
      </c>
      <c r="N102">
        <v>0</v>
      </c>
    </row>
    <row r="103" spans="1:14">
      <c r="A103" s="7"/>
      <c r="B103" s="13" t="s">
        <v>11</v>
      </c>
      <c r="C103" s="6">
        <v>50</v>
      </c>
      <c r="D103" s="5"/>
      <c r="E103" s="95"/>
      <c r="F103" s="102"/>
      <c r="G103" s="100"/>
      <c r="I103" s="13" t="s">
        <v>11</v>
      </c>
      <c r="J103" s="14">
        <f t="shared" ca="1" si="11"/>
        <v>50</v>
      </c>
      <c r="K103" s="4">
        <f t="shared" ca="1" si="8"/>
        <v>2</v>
      </c>
      <c r="L103" s="73">
        <f t="shared" ca="1" si="9"/>
        <v>48</v>
      </c>
      <c r="M103" s="6">
        <f t="shared" si="10"/>
        <v>1</v>
      </c>
      <c r="N103">
        <v>50</v>
      </c>
    </row>
    <row r="104" spans="1:14">
      <c r="B104" s="13" t="s">
        <v>332</v>
      </c>
      <c r="C104" s="6">
        <v>3</v>
      </c>
      <c r="D104" s="5"/>
      <c r="E104" s="90"/>
      <c r="F104" s="102"/>
      <c r="G104" s="100"/>
      <c r="I104" s="13" t="s">
        <v>332</v>
      </c>
      <c r="J104" s="14">
        <f t="shared" ca="1" si="11"/>
        <v>3</v>
      </c>
      <c r="K104" s="4">
        <f t="shared" ca="1" si="8"/>
        <v>0</v>
      </c>
      <c r="L104" s="73">
        <f t="shared" ca="1" si="9"/>
        <v>3</v>
      </c>
      <c r="M104" s="6">
        <f t="shared" si="10"/>
        <v>1</v>
      </c>
      <c r="N104">
        <v>3</v>
      </c>
    </row>
    <row r="105" spans="1:14">
      <c r="A105" s="7"/>
      <c r="B105" s="13" t="s">
        <v>82</v>
      </c>
      <c r="C105" s="6">
        <v>0</v>
      </c>
      <c r="D105" s="5"/>
      <c r="E105" s="100"/>
      <c r="F105" s="102"/>
      <c r="G105" s="100"/>
      <c r="I105" s="13" t="s">
        <v>82</v>
      </c>
      <c r="J105" s="14">
        <f t="shared" ca="1" si="11"/>
        <v>0</v>
      </c>
      <c r="K105" s="4">
        <f t="shared" ca="1" si="8"/>
        <v>0</v>
      </c>
      <c r="L105" s="73">
        <f t="shared" ca="1" si="9"/>
        <v>0</v>
      </c>
      <c r="M105" s="6">
        <f t="shared" si="10"/>
        <v>1</v>
      </c>
      <c r="N105">
        <v>0</v>
      </c>
    </row>
    <row r="106" spans="1:14">
      <c r="B106" s="13" t="s">
        <v>333</v>
      </c>
      <c r="C106" s="6">
        <v>1</v>
      </c>
      <c r="D106" s="5"/>
      <c r="E106" s="90"/>
      <c r="F106" s="102"/>
      <c r="G106" s="100"/>
      <c r="I106" s="13" t="s">
        <v>333</v>
      </c>
      <c r="J106" s="14">
        <f t="shared" ca="1" si="11"/>
        <v>1</v>
      </c>
      <c r="K106" s="4">
        <f t="shared" ca="1" si="8"/>
        <v>0</v>
      </c>
      <c r="L106" s="73">
        <f t="shared" ca="1" si="9"/>
        <v>1</v>
      </c>
      <c r="M106" s="6">
        <f t="shared" si="10"/>
        <v>1</v>
      </c>
      <c r="N106">
        <v>1</v>
      </c>
    </row>
    <row r="107" spans="1:14">
      <c r="A107" s="7"/>
      <c r="B107" s="13" t="s">
        <v>25</v>
      </c>
      <c r="C107" s="6">
        <v>0</v>
      </c>
      <c r="D107" s="5"/>
      <c r="E107" s="90"/>
      <c r="F107" s="102"/>
      <c r="G107" s="100"/>
      <c r="I107" s="13" t="s">
        <v>25</v>
      </c>
      <c r="J107" s="14">
        <f t="shared" ca="1" si="11"/>
        <v>0</v>
      </c>
      <c r="K107" s="4">
        <f t="shared" ca="1" si="8"/>
        <v>0</v>
      </c>
      <c r="L107" s="73">
        <f t="shared" ca="1" si="9"/>
        <v>0</v>
      </c>
      <c r="M107" s="6">
        <f t="shared" si="10"/>
        <v>1</v>
      </c>
      <c r="N107">
        <v>0</v>
      </c>
    </row>
    <row r="108" spans="1:14">
      <c r="B108" s="13" t="s">
        <v>66</v>
      </c>
      <c r="C108" s="6">
        <v>10</v>
      </c>
      <c r="D108" s="5"/>
      <c r="E108" s="90"/>
      <c r="F108" s="102"/>
      <c r="G108" s="100"/>
      <c r="I108" s="13" t="s">
        <v>66</v>
      </c>
      <c r="J108" s="14">
        <f t="shared" ca="1" si="11"/>
        <v>10</v>
      </c>
      <c r="K108" s="4">
        <f t="shared" ca="1" si="8"/>
        <v>0</v>
      </c>
      <c r="L108" s="73">
        <f t="shared" ca="1" si="9"/>
        <v>10</v>
      </c>
      <c r="M108" s="6">
        <f t="shared" si="10"/>
        <v>1</v>
      </c>
      <c r="N108">
        <v>10</v>
      </c>
    </row>
    <row r="109" spans="1:14">
      <c r="A109" s="7"/>
      <c r="B109" s="13" t="s">
        <v>83</v>
      </c>
      <c r="C109" s="6">
        <v>0</v>
      </c>
      <c r="D109" s="5"/>
      <c r="E109" s="90"/>
      <c r="F109" s="102"/>
      <c r="G109" s="100"/>
      <c r="I109" s="13" t="s">
        <v>83</v>
      </c>
      <c r="J109" s="14">
        <f t="shared" ca="1" si="11"/>
        <v>0</v>
      </c>
      <c r="K109" s="4">
        <f t="shared" ca="1" si="8"/>
        <v>0</v>
      </c>
      <c r="L109" s="73">
        <f t="shared" ca="1" si="9"/>
        <v>0</v>
      </c>
      <c r="M109" s="6">
        <f t="shared" si="10"/>
        <v>1</v>
      </c>
      <c r="N109">
        <v>0</v>
      </c>
    </row>
    <row r="110" spans="1:14">
      <c r="B110" s="13" t="s">
        <v>84</v>
      </c>
      <c r="C110" s="6">
        <v>0</v>
      </c>
      <c r="D110" s="5"/>
      <c r="E110" s="98"/>
      <c r="F110" s="102"/>
      <c r="G110" s="100"/>
      <c r="I110" s="13" t="s">
        <v>84</v>
      </c>
      <c r="J110" s="14">
        <f t="shared" ca="1" si="11"/>
        <v>0</v>
      </c>
      <c r="K110" s="4">
        <f t="shared" ca="1" si="8"/>
        <v>0</v>
      </c>
      <c r="L110" s="73">
        <f t="shared" ca="1" si="9"/>
        <v>0</v>
      </c>
      <c r="M110" s="6">
        <f t="shared" si="10"/>
        <v>1</v>
      </c>
      <c r="N110">
        <v>0</v>
      </c>
    </row>
    <row r="111" spans="1:14">
      <c r="B111" s="13" t="s">
        <v>334</v>
      </c>
      <c r="C111" s="6">
        <v>0</v>
      </c>
      <c r="D111" s="5"/>
      <c r="E111" s="100"/>
      <c r="F111" s="113"/>
      <c r="G111" s="102"/>
      <c r="I111" s="13" t="s">
        <v>334</v>
      </c>
      <c r="J111" s="14">
        <f t="shared" ca="1" si="11"/>
        <v>0</v>
      </c>
      <c r="K111" s="4">
        <f t="shared" ca="1" si="8"/>
        <v>0</v>
      </c>
      <c r="L111" s="73">
        <f t="shared" ca="1" si="9"/>
        <v>0</v>
      </c>
      <c r="M111" s="6">
        <f t="shared" si="10"/>
        <v>1</v>
      </c>
      <c r="N111">
        <v>0</v>
      </c>
    </row>
    <row r="112" spans="1:14">
      <c r="A112" s="4"/>
      <c r="B112" s="13" t="s">
        <v>335</v>
      </c>
      <c r="C112" s="6">
        <v>17</v>
      </c>
      <c r="D112" s="5"/>
      <c r="E112" s="98"/>
      <c r="F112" s="102"/>
      <c r="G112" s="100"/>
      <c r="I112" s="13" t="s">
        <v>335</v>
      </c>
      <c r="J112" s="14">
        <f t="shared" ref="J112:J138" ca="1" si="12">SUMIF(B:C,I112,C:C)</f>
        <v>17</v>
      </c>
      <c r="K112" s="4">
        <f t="shared" ca="1" si="8"/>
        <v>1</v>
      </c>
      <c r="L112" s="73">
        <f t="shared" ca="1" si="9"/>
        <v>16</v>
      </c>
      <c r="M112" s="6">
        <f t="shared" si="10"/>
        <v>1</v>
      </c>
      <c r="N112">
        <v>17</v>
      </c>
    </row>
    <row r="113" spans="1:14">
      <c r="B113" s="13" t="s">
        <v>336</v>
      </c>
      <c r="C113" s="6">
        <v>0</v>
      </c>
      <c r="D113" s="5"/>
      <c r="E113" s="90"/>
      <c r="F113" s="102"/>
      <c r="G113" s="100"/>
      <c r="I113" s="13" t="s">
        <v>336</v>
      </c>
      <c r="J113" s="14">
        <f t="shared" ca="1" si="12"/>
        <v>0</v>
      </c>
      <c r="K113" s="4">
        <f t="shared" ca="1" si="8"/>
        <v>0</v>
      </c>
      <c r="L113" s="73">
        <f t="shared" ca="1" si="9"/>
        <v>0</v>
      </c>
      <c r="M113" s="6">
        <f t="shared" si="10"/>
        <v>1</v>
      </c>
      <c r="N113">
        <v>0</v>
      </c>
    </row>
    <row r="114" spans="1:14">
      <c r="B114" s="13" t="s">
        <v>85</v>
      </c>
      <c r="C114" s="6">
        <v>0</v>
      </c>
      <c r="D114" s="5"/>
      <c r="E114" s="98"/>
      <c r="F114" s="102"/>
      <c r="G114" s="100"/>
      <c r="I114" s="13" t="s">
        <v>85</v>
      </c>
      <c r="J114" s="14">
        <f t="shared" ca="1" si="12"/>
        <v>0</v>
      </c>
      <c r="K114" s="4">
        <f t="shared" ca="1" si="8"/>
        <v>0</v>
      </c>
      <c r="L114" s="73">
        <f t="shared" ca="1" si="9"/>
        <v>0</v>
      </c>
      <c r="M114" s="6">
        <f t="shared" si="10"/>
        <v>1</v>
      </c>
      <c r="N114">
        <v>0</v>
      </c>
    </row>
    <row r="115" spans="1:14">
      <c r="B115" s="13" t="s">
        <v>86</v>
      </c>
      <c r="C115" s="6">
        <v>0</v>
      </c>
      <c r="D115" s="5"/>
      <c r="E115" s="90"/>
      <c r="F115" s="102"/>
      <c r="G115" s="100"/>
      <c r="I115" s="13" t="s">
        <v>86</v>
      </c>
      <c r="J115" s="14">
        <f t="shared" ca="1" si="12"/>
        <v>0</v>
      </c>
      <c r="K115" s="4">
        <f t="shared" ca="1" si="8"/>
        <v>0</v>
      </c>
      <c r="L115" s="73">
        <f t="shared" ca="1" si="9"/>
        <v>0</v>
      </c>
      <c r="M115" s="6">
        <f t="shared" si="10"/>
        <v>1</v>
      </c>
      <c r="N115">
        <v>0</v>
      </c>
    </row>
    <row r="116" spans="1:14">
      <c r="B116" s="13" t="s">
        <v>87</v>
      </c>
      <c r="C116" s="6">
        <v>0</v>
      </c>
      <c r="D116" s="5"/>
      <c r="E116" s="95"/>
      <c r="F116" s="102"/>
      <c r="G116" s="100"/>
      <c r="I116" s="13" t="s">
        <v>87</v>
      </c>
      <c r="J116" s="14">
        <f t="shared" ca="1" si="12"/>
        <v>0</v>
      </c>
      <c r="K116" s="4">
        <f t="shared" ca="1" si="8"/>
        <v>0</v>
      </c>
      <c r="L116" s="73">
        <f t="shared" ca="1" si="9"/>
        <v>0</v>
      </c>
      <c r="M116" s="6">
        <f t="shared" si="10"/>
        <v>1</v>
      </c>
      <c r="N116">
        <v>0</v>
      </c>
    </row>
    <row r="117" spans="1:14">
      <c r="B117" s="13" t="s">
        <v>337</v>
      </c>
      <c r="C117" s="6">
        <v>0</v>
      </c>
      <c r="D117" s="5"/>
      <c r="E117" s="95"/>
      <c r="F117" s="102"/>
      <c r="G117" s="100"/>
      <c r="I117" s="13" t="s">
        <v>337</v>
      </c>
      <c r="J117" s="14">
        <f t="shared" ca="1" si="12"/>
        <v>0</v>
      </c>
      <c r="K117" s="4">
        <f t="shared" ca="1" si="8"/>
        <v>0</v>
      </c>
      <c r="L117" s="73">
        <f t="shared" ca="1" si="9"/>
        <v>0</v>
      </c>
      <c r="M117" s="6">
        <f t="shared" si="10"/>
        <v>1</v>
      </c>
      <c r="N117">
        <v>0</v>
      </c>
    </row>
    <row r="118" spans="1:14">
      <c r="B118" s="13" t="s">
        <v>88</v>
      </c>
      <c r="C118" s="6">
        <v>0</v>
      </c>
      <c r="D118" s="5"/>
      <c r="E118" s="100"/>
      <c r="F118" s="102"/>
      <c r="G118" s="100"/>
      <c r="I118" s="13" t="s">
        <v>88</v>
      </c>
      <c r="J118" s="14">
        <f t="shared" ca="1" si="12"/>
        <v>0</v>
      </c>
      <c r="K118" s="4">
        <f t="shared" ca="1" si="8"/>
        <v>0</v>
      </c>
      <c r="L118" s="73">
        <f t="shared" ca="1" si="9"/>
        <v>0</v>
      </c>
      <c r="M118" s="6">
        <f t="shared" si="10"/>
        <v>1</v>
      </c>
      <c r="N118">
        <v>0</v>
      </c>
    </row>
    <row r="119" spans="1:14">
      <c r="B119" s="13" t="s">
        <v>89</v>
      </c>
      <c r="C119" s="6">
        <v>0</v>
      </c>
      <c r="D119" s="5"/>
      <c r="E119" s="90"/>
      <c r="F119" s="102"/>
      <c r="G119" s="100"/>
      <c r="I119" s="13" t="s">
        <v>89</v>
      </c>
      <c r="J119" s="14">
        <f t="shared" ca="1" si="12"/>
        <v>0</v>
      </c>
      <c r="K119" s="4">
        <f t="shared" ca="1" si="8"/>
        <v>0</v>
      </c>
      <c r="L119" s="73">
        <f t="shared" ca="1" si="9"/>
        <v>0</v>
      </c>
      <c r="M119" s="6">
        <f t="shared" si="10"/>
        <v>1</v>
      </c>
      <c r="N119">
        <v>0</v>
      </c>
    </row>
    <row r="120" spans="1:14">
      <c r="B120" s="13" t="s">
        <v>90</v>
      </c>
      <c r="C120" s="6">
        <v>0</v>
      </c>
      <c r="D120" s="5"/>
      <c r="E120" s="90"/>
      <c r="F120" s="102"/>
      <c r="G120" s="100"/>
      <c r="I120" s="13" t="s">
        <v>90</v>
      </c>
      <c r="J120" s="14">
        <f t="shared" ca="1" si="12"/>
        <v>0</v>
      </c>
      <c r="K120" s="4">
        <f t="shared" ca="1" si="8"/>
        <v>0</v>
      </c>
      <c r="L120" s="73">
        <f t="shared" ca="1" si="9"/>
        <v>0</v>
      </c>
      <c r="M120" s="6">
        <f t="shared" si="10"/>
        <v>1</v>
      </c>
      <c r="N120">
        <v>0</v>
      </c>
    </row>
    <row r="121" spans="1:14">
      <c r="B121" s="13" t="s">
        <v>764</v>
      </c>
      <c r="C121" s="6">
        <v>3</v>
      </c>
      <c r="D121" s="5"/>
      <c r="E121" s="90"/>
      <c r="F121" s="102"/>
      <c r="G121" s="100"/>
      <c r="I121" s="13" t="s">
        <v>764</v>
      </c>
      <c r="J121" s="14">
        <f t="shared" ca="1" si="12"/>
        <v>3</v>
      </c>
      <c r="K121" s="4">
        <f t="shared" ca="1" si="8"/>
        <v>0</v>
      </c>
      <c r="L121" s="73">
        <f t="shared" ca="1" si="9"/>
        <v>3</v>
      </c>
      <c r="M121" s="6">
        <f t="shared" si="10"/>
        <v>1</v>
      </c>
      <c r="N121">
        <v>3</v>
      </c>
    </row>
    <row r="122" spans="1:14">
      <c r="B122" s="13" t="s">
        <v>792</v>
      </c>
      <c r="C122" s="6">
        <v>0</v>
      </c>
      <c r="D122" s="5"/>
      <c r="E122" s="100"/>
      <c r="F122" s="102"/>
      <c r="G122" s="100"/>
      <c r="I122" s="13" t="s">
        <v>792</v>
      </c>
      <c r="J122" s="14">
        <f t="shared" ca="1" si="12"/>
        <v>0</v>
      </c>
      <c r="K122" s="4">
        <f t="shared" ca="1" si="8"/>
        <v>0</v>
      </c>
      <c r="L122" s="73">
        <f t="shared" ca="1" si="9"/>
        <v>0</v>
      </c>
      <c r="M122" s="6">
        <f t="shared" si="10"/>
        <v>1</v>
      </c>
      <c r="N122">
        <v>0</v>
      </c>
    </row>
    <row r="123" spans="1:14">
      <c r="B123" s="72" t="s">
        <v>91</v>
      </c>
      <c r="C123" s="6">
        <v>0</v>
      </c>
      <c r="D123" s="5"/>
      <c r="E123" s="98"/>
      <c r="F123" s="102"/>
      <c r="G123" s="100"/>
      <c r="I123" s="72" t="s">
        <v>91</v>
      </c>
      <c r="J123" s="14">
        <f t="shared" ca="1" si="12"/>
        <v>0</v>
      </c>
      <c r="K123" s="4">
        <f t="shared" ca="1" si="8"/>
        <v>0</v>
      </c>
      <c r="L123" s="73">
        <f t="shared" ca="1" si="9"/>
        <v>0</v>
      </c>
      <c r="M123" s="6">
        <f t="shared" si="10"/>
        <v>1</v>
      </c>
      <c r="N123">
        <v>0</v>
      </c>
    </row>
    <row r="124" spans="1:14">
      <c r="B124" s="72" t="s">
        <v>92</v>
      </c>
      <c r="C124" s="6">
        <v>0</v>
      </c>
      <c r="D124" s="5"/>
      <c r="E124" s="100"/>
      <c r="F124" s="113"/>
      <c r="G124" s="100"/>
      <c r="I124" s="72" t="s">
        <v>92</v>
      </c>
      <c r="J124" s="14">
        <f t="shared" ca="1" si="12"/>
        <v>0</v>
      </c>
      <c r="K124" s="4">
        <f t="shared" ca="1" si="8"/>
        <v>0</v>
      </c>
      <c r="L124" s="73">
        <f t="shared" ca="1" si="9"/>
        <v>0</v>
      </c>
      <c r="M124" s="6">
        <f t="shared" si="10"/>
        <v>1</v>
      </c>
      <c r="N124">
        <v>0</v>
      </c>
    </row>
    <row r="125" spans="1:14">
      <c r="B125" s="72" t="s">
        <v>0</v>
      </c>
      <c r="C125" s="6">
        <v>4</v>
      </c>
      <c r="D125" s="5"/>
      <c r="E125" s="98"/>
      <c r="F125" s="102"/>
      <c r="G125" s="100"/>
      <c r="I125" s="72" t="s">
        <v>0</v>
      </c>
      <c r="J125" s="14">
        <f t="shared" ca="1" si="12"/>
        <v>4</v>
      </c>
      <c r="K125" s="4">
        <f t="shared" ca="1" si="8"/>
        <v>0</v>
      </c>
      <c r="L125" s="73">
        <f t="shared" ca="1" si="9"/>
        <v>4</v>
      </c>
      <c r="M125" s="6">
        <f t="shared" si="10"/>
        <v>1</v>
      </c>
      <c r="N125">
        <v>4</v>
      </c>
    </row>
    <row r="126" spans="1:14">
      <c r="B126" s="72" t="s">
        <v>93</v>
      </c>
      <c r="C126" s="6">
        <v>0</v>
      </c>
      <c r="D126" s="5"/>
      <c r="E126" s="90"/>
      <c r="F126" s="102"/>
      <c r="G126" s="100"/>
      <c r="I126" s="72" t="s">
        <v>93</v>
      </c>
      <c r="J126" s="14">
        <f t="shared" ca="1" si="12"/>
        <v>0</v>
      </c>
      <c r="K126" s="4">
        <f t="shared" ca="1" si="8"/>
        <v>0</v>
      </c>
      <c r="L126" s="73">
        <f t="shared" ca="1" si="9"/>
        <v>0</v>
      </c>
      <c r="M126" s="6">
        <f t="shared" si="10"/>
        <v>1</v>
      </c>
      <c r="N126">
        <v>0</v>
      </c>
    </row>
    <row r="127" spans="1:14">
      <c r="A127" s="7"/>
      <c r="B127" s="72" t="s">
        <v>94</v>
      </c>
      <c r="C127" s="6">
        <v>0</v>
      </c>
      <c r="D127" s="5"/>
      <c r="E127" s="98"/>
      <c r="F127" s="102"/>
      <c r="G127" s="100"/>
      <c r="I127" s="72" t="s">
        <v>94</v>
      </c>
      <c r="J127" s="14">
        <f t="shared" ca="1" si="12"/>
        <v>0</v>
      </c>
      <c r="K127" s="4">
        <f t="shared" ca="1" si="8"/>
        <v>0</v>
      </c>
      <c r="L127" s="73">
        <f t="shared" ca="1" si="9"/>
        <v>0</v>
      </c>
      <c r="M127" s="6">
        <f t="shared" si="10"/>
        <v>1</v>
      </c>
      <c r="N127">
        <v>0</v>
      </c>
    </row>
    <row r="128" spans="1:14">
      <c r="B128" s="13" t="s">
        <v>12</v>
      </c>
      <c r="C128" s="6">
        <v>4</v>
      </c>
      <c r="D128" s="5"/>
      <c r="E128" s="90"/>
      <c r="F128" s="102"/>
      <c r="G128" s="100"/>
      <c r="I128" s="13" t="s">
        <v>12</v>
      </c>
      <c r="J128" s="14">
        <f t="shared" ca="1" si="12"/>
        <v>4</v>
      </c>
      <c r="K128" s="4">
        <f t="shared" ca="1" si="8"/>
        <v>1</v>
      </c>
      <c r="L128" s="73">
        <f t="shared" ca="1" si="9"/>
        <v>3</v>
      </c>
      <c r="M128" s="6">
        <f t="shared" si="10"/>
        <v>1</v>
      </c>
      <c r="N128">
        <v>4</v>
      </c>
    </row>
    <row r="129" spans="1:17">
      <c r="A129" s="7"/>
      <c r="B129" s="4" t="s">
        <v>715</v>
      </c>
      <c r="C129" s="6">
        <v>0</v>
      </c>
      <c r="D129" s="5"/>
      <c r="E129" s="90"/>
      <c r="F129" s="102"/>
      <c r="G129" s="100"/>
      <c r="I129" s="4" t="s">
        <v>715</v>
      </c>
      <c r="J129" s="14">
        <f t="shared" ca="1" si="12"/>
        <v>0</v>
      </c>
      <c r="K129" s="4">
        <f t="shared" ca="1" si="8"/>
        <v>0</v>
      </c>
      <c r="L129" s="73">
        <f t="shared" ca="1" si="9"/>
        <v>0</v>
      </c>
      <c r="M129" s="6">
        <f t="shared" si="10"/>
        <v>1</v>
      </c>
      <c r="N129">
        <v>0</v>
      </c>
      <c r="O129" s="5"/>
      <c r="P129" s="2"/>
      <c r="Q129" s="2"/>
    </row>
    <row r="130" spans="1:17">
      <c r="B130" s="72" t="s">
        <v>769</v>
      </c>
      <c r="C130" s="6">
        <v>0</v>
      </c>
      <c r="D130" s="5"/>
      <c r="E130" s="100"/>
      <c r="F130" s="102"/>
      <c r="G130" s="100"/>
      <c r="I130" s="72" t="s">
        <v>769</v>
      </c>
      <c r="J130" s="14">
        <f t="shared" ca="1" si="12"/>
        <v>0</v>
      </c>
      <c r="K130" s="4">
        <f t="shared" ref="K130:K193" ca="1" si="13">SUMIF(F:G,I130,G:G)</f>
        <v>0</v>
      </c>
      <c r="L130" s="73">
        <f t="shared" ref="L130:L193" ca="1" si="14">J130-K130</f>
        <v>0</v>
      </c>
      <c r="M130" s="6">
        <f t="shared" si="10"/>
        <v>1</v>
      </c>
      <c r="N130">
        <v>0</v>
      </c>
      <c r="O130" s="41"/>
      <c r="P130" s="5"/>
      <c r="Q130" s="2"/>
    </row>
    <row r="131" spans="1:17">
      <c r="B131" s="13" t="s">
        <v>338</v>
      </c>
      <c r="C131" s="6">
        <v>2</v>
      </c>
      <c r="D131" s="5"/>
      <c r="E131" s="98"/>
      <c r="F131" s="102"/>
      <c r="G131" s="102"/>
      <c r="H131" s="91"/>
      <c r="I131" s="13" t="s">
        <v>338</v>
      </c>
      <c r="J131" s="14">
        <f t="shared" ca="1" si="12"/>
        <v>2</v>
      </c>
      <c r="K131" s="4">
        <f t="shared" ca="1" si="13"/>
        <v>0</v>
      </c>
      <c r="L131" s="73">
        <f t="shared" ca="1" si="14"/>
        <v>2</v>
      </c>
      <c r="M131" s="6">
        <f t="shared" si="10"/>
        <v>1</v>
      </c>
      <c r="N131">
        <v>2</v>
      </c>
      <c r="O131" s="42"/>
      <c r="P131" s="5"/>
      <c r="Q131" s="2"/>
    </row>
    <row r="132" spans="1:17">
      <c r="B132" s="13" t="s">
        <v>339</v>
      </c>
      <c r="C132" s="6">
        <v>0</v>
      </c>
      <c r="D132" s="5"/>
      <c r="E132" s="100"/>
      <c r="F132" s="102"/>
      <c r="G132" s="100"/>
      <c r="H132" s="91"/>
      <c r="I132" s="13" t="s">
        <v>339</v>
      </c>
      <c r="J132" s="14">
        <f t="shared" ca="1" si="12"/>
        <v>0</v>
      </c>
      <c r="K132" s="4">
        <f t="shared" ca="1" si="13"/>
        <v>0</v>
      </c>
      <c r="L132" s="73">
        <f t="shared" ca="1" si="14"/>
        <v>0</v>
      </c>
      <c r="M132" s="6">
        <f t="shared" si="10"/>
        <v>1</v>
      </c>
      <c r="N132">
        <v>0</v>
      </c>
      <c r="O132" s="43"/>
      <c r="P132" s="5"/>
      <c r="Q132" s="2"/>
    </row>
    <row r="133" spans="1:17">
      <c r="B133" s="13" t="s">
        <v>340</v>
      </c>
      <c r="C133" s="6">
        <v>0</v>
      </c>
      <c r="D133" s="5"/>
      <c r="E133" s="96"/>
      <c r="F133" s="102"/>
      <c r="G133" s="100"/>
      <c r="H133" s="91"/>
      <c r="I133" s="13" t="s">
        <v>340</v>
      </c>
      <c r="J133" s="14">
        <f t="shared" ca="1" si="12"/>
        <v>0</v>
      </c>
      <c r="K133" s="4">
        <f t="shared" ca="1" si="13"/>
        <v>0</v>
      </c>
      <c r="L133" s="73">
        <f t="shared" ca="1" si="14"/>
        <v>0</v>
      </c>
      <c r="M133" s="6">
        <f t="shared" ref="M133:M196" si="15">MATCH(I133,B133,0)</f>
        <v>1</v>
      </c>
      <c r="N133">
        <v>0</v>
      </c>
      <c r="O133" s="41"/>
      <c r="P133" s="5"/>
      <c r="Q133" s="2"/>
    </row>
    <row r="134" spans="1:17">
      <c r="B134" s="13" t="s">
        <v>341</v>
      </c>
      <c r="C134" s="6">
        <v>0</v>
      </c>
      <c r="D134" s="5"/>
      <c r="E134" s="102"/>
      <c r="F134" s="102"/>
      <c r="G134" s="102"/>
      <c r="H134" s="91"/>
      <c r="I134" s="13" t="s">
        <v>341</v>
      </c>
      <c r="J134" s="14">
        <f t="shared" ca="1" si="12"/>
        <v>0</v>
      </c>
      <c r="K134" s="4">
        <f t="shared" ca="1" si="13"/>
        <v>0</v>
      </c>
      <c r="L134" s="73">
        <f t="shared" ca="1" si="14"/>
        <v>0</v>
      </c>
      <c r="M134" s="6">
        <f t="shared" si="15"/>
        <v>1</v>
      </c>
      <c r="N134">
        <v>0</v>
      </c>
      <c r="O134" s="41"/>
      <c r="P134" s="5"/>
      <c r="Q134" s="2"/>
    </row>
    <row r="135" spans="1:17">
      <c r="A135" s="7"/>
      <c r="B135" s="13" t="s">
        <v>768</v>
      </c>
      <c r="C135" s="6">
        <v>0</v>
      </c>
      <c r="D135" s="5"/>
      <c r="E135" s="100"/>
      <c r="F135" s="102"/>
      <c r="G135" s="100"/>
      <c r="H135" s="91"/>
      <c r="I135" s="13" t="s">
        <v>768</v>
      </c>
      <c r="J135" s="14">
        <f t="shared" ca="1" si="12"/>
        <v>0</v>
      </c>
      <c r="K135" s="4">
        <f t="shared" ca="1" si="13"/>
        <v>0</v>
      </c>
      <c r="L135" s="73">
        <f t="shared" ca="1" si="14"/>
        <v>0</v>
      </c>
      <c r="M135" s="6">
        <f t="shared" si="15"/>
        <v>1</v>
      </c>
      <c r="N135">
        <v>0</v>
      </c>
      <c r="O135" s="44"/>
      <c r="P135" s="5"/>
      <c r="Q135" s="2"/>
    </row>
    <row r="136" spans="1:17">
      <c r="B136" s="13" t="s">
        <v>342</v>
      </c>
      <c r="C136" s="6">
        <v>0</v>
      </c>
      <c r="D136" s="5"/>
      <c r="E136" s="90"/>
      <c r="F136" s="102"/>
      <c r="G136" s="100"/>
      <c r="H136" s="91"/>
      <c r="I136" s="13" t="s">
        <v>342</v>
      </c>
      <c r="J136" s="14">
        <f t="shared" ca="1" si="12"/>
        <v>0</v>
      </c>
      <c r="K136" s="4">
        <f t="shared" ca="1" si="13"/>
        <v>0</v>
      </c>
      <c r="L136" s="73">
        <f t="shared" ca="1" si="14"/>
        <v>0</v>
      </c>
      <c r="M136" s="6">
        <f t="shared" si="15"/>
        <v>1</v>
      </c>
      <c r="N136">
        <v>0</v>
      </c>
      <c r="O136" s="5"/>
      <c r="P136" s="2"/>
      <c r="Q136" s="2"/>
    </row>
    <row r="137" spans="1:17">
      <c r="B137" s="13" t="s">
        <v>95</v>
      </c>
      <c r="C137" s="6">
        <v>1</v>
      </c>
      <c r="D137" s="5"/>
      <c r="E137" s="95"/>
      <c r="F137" s="102"/>
      <c r="G137" s="100"/>
      <c r="H137" s="91"/>
      <c r="I137" s="13" t="s">
        <v>95</v>
      </c>
      <c r="J137" s="14">
        <f t="shared" ca="1" si="12"/>
        <v>1</v>
      </c>
      <c r="K137" s="4">
        <f t="shared" ca="1" si="13"/>
        <v>0</v>
      </c>
      <c r="L137" s="73">
        <f t="shared" ca="1" si="14"/>
        <v>1</v>
      </c>
      <c r="M137" s="6">
        <f t="shared" si="15"/>
        <v>1</v>
      </c>
      <c r="N137">
        <v>1</v>
      </c>
    </row>
    <row r="138" spans="1:17">
      <c r="B138" s="13" t="s">
        <v>23</v>
      </c>
      <c r="C138" s="6">
        <v>3</v>
      </c>
      <c r="D138" s="5"/>
      <c r="E138" s="100"/>
      <c r="F138" s="102"/>
      <c r="G138" s="100"/>
      <c r="H138" s="6"/>
      <c r="I138" s="13" t="s">
        <v>23</v>
      </c>
      <c r="J138" s="14">
        <f t="shared" ca="1" si="12"/>
        <v>3</v>
      </c>
      <c r="K138" s="4">
        <f t="shared" ca="1" si="13"/>
        <v>5</v>
      </c>
      <c r="L138" s="73">
        <f t="shared" ca="1" si="14"/>
        <v>-2</v>
      </c>
      <c r="M138" s="6">
        <f t="shared" si="15"/>
        <v>1</v>
      </c>
      <c r="N138">
        <v>3</v>
      </c>
    </row>
    <row r="139" spans="1:17">
      <c r="A139" s="7"/>
      <c r="B139" s="13" t="s">
        <v>96</v>
      </c>
      <c r="C139" s="6">
        <v>0</v>
      </c>
      <c r="D139" s="5"/>
      <c r="E139" s="100"/>
      <c r="F139" s="102"/>
      <c r="G139" s="100"/>
      <c r="H139" s="6"/>
      <c r="I139" s="13" t="s">
        <v>96</v>
      </c>
      <c r="K139" s="4">
        <f t="shared" ca="1" si="13"/>
        <v>0</v>
      </c>
      <c r="L139" s="73">
        <f t="shared" ca="1" si="14"/>
        <v>0</v>
      </c>
      <c r="M139" s="6">
        <f t="shared" si="15"/>
        <v>1</v>
      </c>
      <c r="N139">
        <v>0</v>
      </c>
    </row>
    <row r="140" spans="1:17">
      <c r="B140" s="13" t="s">
        <v>24</v>
      </c>
      <c r="C140" s="6">
        <v>9</v>
      </c>
      <c r="D140" s="5"/>
      <c r="E140" s="98"/>
      <c r="F140" s="102"/>
      <c r="G140" s="100"/>
      <c r="H140" s="6"/>
      <c r="I140" s="13" t="s">
        <v>24</v>
      </c>
      <c r="J140" s="14">
        <f t="shared" ref="J140:J203" ca="1" si="16">SUMIF(B:C,I140,C:C)</f>
        <v>9</v>
      </c>
      <c r="K140" s="4">
        <f t="shared" ca="1" si="13"/>
        <v>1</v>
      </c>
      <c r="L140" s="73">
        <f t="shared" ca="1" si="14"/>
        <v>8</v>
      </c>
      <c r="M140" s="6">
        <f t="shared" si="15"/>
        <v>1</v>
      </c>
      <c r="N140">
        <v>9</v>
      </c>
    </row>
    <row r="141" spans="1:17">
      <c r="B141" s="13" t="s">
        <v>343</v>
      </c>
      <c r="C141" s="6">
        <v>1</v>
      </c>
      <c r="D141" s="5"/>
      <c r="E141" s="100"/>
      <c r="F141" s="102"/>
      <c r="G141" s="100"/>
      <c r="H141" s="6"/>
      <c r="I141" s="13" t="s">
        <v>343</v>
      </c>
      <c r="J141" s="14">
        <f t="shared" ca="1" si="16"/>
        <v>1</v>
      </c>
      <c r="K141" s="4">
        <f t="shared" ca="1" si="13"/>
        <v>0</v>
      </c>
      <c r="L141" s="73">
        <f t="shared" ca="1" si="14"/>
        <v>1</v>
      </c>
      <c r="M141" s="6">
        <f t="shared" si="15"/>
        <v>1</v>
      </c>
      <c r="N141">
        <v>1</v>
      </c>
    </row>
    <row r="142" spans="1:17">
      <c r="A142" s="7"/>
      <c r="B142" s="13" t="s">
        <v>21</v>
      </c>
      <c r="C142" s="6">
        <v>0</v>
      </c>
      <c r="D142" s="5"/>
      <c r="E142" s="102"/>
      <c r="F142" s="102"/>
      <c r="G142" s="102"/>
      <c r="H142" s="6"/>
      <c r="I142" s="13" t="s">
        <v>21</v>
      </c>
      <c r="J142" s="14">
        <f t="shared" ca="1" si="16"/>
        <v>0</v>
      </c>
      <c r="K142" s="4">
        <f t="shared" ca="1" si="13"/>
        <v>0</v>
      </c>
      <c r="L142" s="73">
        <f t="shared" ca="1" si="14"/>
        <v>0</v>
      </c>
      <c r="M142" s="6">
        <f t="shared" si="15"/>
        <v>1</v>
      </c>
      <c r="N142">
        <v>0</v>
      </c>
    </row>
    <row r="143" spans="1:17">
      <c r="B143" s="13" t="s">
        <v>344</v>
      </c>
      <c r="C143" s="6">
        <v>0</v>
      </c>
      <c r="D143" s="5"/>
      <c r="E143" s="100"/>
      <c r="F143" s="102"/>
      <c r="G143" s="100"/>
      <c r="H143" s="6"/>
      <c r="I143" s="13" t="s">
        <v>344</v>
      </c>
      <c r="J143" s="14">
        <f t="shared" ca="1" si="16"/>
        <v>0</v>
      </c>
      <c r="K143" s="4">
        <f t="shared" ca="1" si="13"/>
        <v>0</v>
      </c>
      <c r="L143" s="73">
        <f t="shared" ca="1" si="14"/>
        <v>0</v>
      </c>
      <c r="M143" s="6">
        <f t="shared" si="15"/>
        <v>1</v>
      </c>
      <c r="N143">
        <v>0</v>
      </c>
    </row>
    <row r="144" spans="1:17">
      <c r="B144" s="13" t="s">
        <v>345</v>
      </c>
      <c r="C144" s="6">
        <v>0</v>
      </c>
      <c r="D144" s="5"/>
      <c r="E144" s="100"/>
      <c r="F144" s="102"/>
      <c r="G144" s="100"/>
      <c r="H144" s="6"/>
      <c r="I144" s="13" t="s">
        <v>345</v>
      </c>
      <c r="J144" s="14">
        <f t="shared" ca="1" si="16"/>
        <v>0</v>
      </c>
      <c r="K144" s="4">
        <f t="shared" ca="1" si="13"/>
        <v>0</v>
      </c>
      <c r="L144" s="73">
        <f t="shared" ca="1" si="14"/>
        <v>0</v>
      </c>
      <c r="M144" s="6">
        <f t="shared" si="15"/>
        <v>1</v>
      </c>
      <c r="N144">
        <v>0</v>
      </c>
    </row>
    <row r="145" spans="1:14">
      <c r="B145" s="13" t="s">
        <v>32</v>
      </c>
      <c r="C145" s="6">
        <v>0</v>
      </c>
      <c r="D145" s="5"/>
      <c r="E145" s="96"/>
      <c r="F145" s="102"/>
      <c r="G145" s="100"/>
      <c r="H145" s="6"/>
      <c r="I145" s="13" t="s">
        <v>32</v>
      </c>
      <c r="J145" s="14">
        <f t="shared" ca="1" si="16"/>
        <v>0</v>
      </c>
      <c r="K145" s="4">
        <f t="shared" ca="1" si="13"/>
        <v>0</v>
      </c>
      <c r="L145" s="73">
        <f t="shared" ca="1" si="14"/>
        <v>0</v>
      </c>
      <c r="M145" s="6">
        <f t="shared" si="15"/>
        <v>1</v>
      </c>
      <c r="N145">
        <v>0</v>
      </c>
    </row>
    <row r="146" spans="1:14">
      <c r="B146" s="13" t="s">
        <v>33</v>
      </c>
      <c r="C146" s="6">
        <v>2</v>
      </c>
      <c r="D146" s="5"/>
      <c r="E146" s="100"/>
      <c r="F146" s="102"/>
      <c r="G146" s="100"/>
      <c r="H146" s="6"/>
      <c r="I146" s="13" t="s">
        <v>33</v>
      </c>
      <c r="J146" s="14">
        <f t="shared" ca="1" si="16"/>
        <v>2</v>
      </c>
      <c r="K146" s="4">
        <f t="shared" ca="1" si="13"/>
        <v>0</v>
      </c>
      <c r="L146" s="73">
        <f t="shared" ca="1" si="14"/>
        <v>2</v>
      </c>
      <c r="M146" s="6">
        <f t="shared" si="15"/>
        <v>1</v>
      </c>
      <c r="N146">
        <v>2</v>
      </c>
    </row>
    <row r="147" spans="1:14">
      <c r="A147" s="7"/>
      <c r="B147" s="13" t="s">
        <v>35</v>
      </c>
      <c r="C147" s="6">
        <v>0</v>
      </c>
      <c r="D147" s="5"/>
      <c r="E147" s="100"/>
      <c r="F147" s="102"/>
      <c r="G147" s="100"/>
      <c r="H147" s="6"/>
      <c r="I147" s="13" t="s">
        <v>35</v>
      </c>
      <c r="J147" s="14">
        <f t="shared" ca="1" si="16"/>
        <v>0</v>
      </c>
      <c r="K147" s="4">
        <f t="shared" ca="1" si="13"/>
        <v>0</v>
      </c>
      <c r="L147" s="73">
        <f t="shared" ca="1" si="14"/>
        <v>0</v>
      </c>
      <c r="M147" s="6">
        <f t="shared" si="15"/>
        <v>1</v>
      </c>
      <c r="N147">
        <v>0</v>
      </c>
    </row>
    <row r="148" spans="1:14">
      <c r="B148" s="13" t="s">
        <v>34</v>
      </c>
      <c r="C148" s="6">
        <v>0</v>
      </c>
      <c r="D148" s="5"/>
      <c r="E148" s="100"/>
      <c r="F148" s="102"/>
      <c r="G148" s="100"/>
      <c r="H148" s="79"/>
      <c r="I148" s="13" t="s">
        <v>34</v>
      </c>
      <c r="J148" s="14">
        <f t="shared" ca="1" si="16"/>
        <v>0</v>
      </c>
      <c r="K148" s="4">
        <f t="shared" ca="1" si="13"/>
        <v>0</v>
      </c>
      <c r="L148" s="73">
        <f t="shared" ca="1" si="14"/>
        <v>0</v>
      </c>
      <c r="M148" s="6">
        <f t="shared" si="15"/>
        <v>1</v>
      </c>
      <c r="N148">
        <v>0</v>
      </c>
    </row>
    <row r="149" spans="1:14">
      <c r="B149" s="13" t="s">
        <v>30</v>
      </c>
      <c r="C149" s="6">
        <v>0</v>
      </c>
      <c r="D149" s="5"/>
      <c r="E149" s="98"/>
      <c r="F149" s="102"/>
      <c r="G149" s="100"/>
      <c r="H149" s="79"/>
      <c r="I149" s="13" t="s">
        <v>30</v>
      </c>
      <c r="J149" s="14">
        <f t="shared" ca="1" si="16"/>
        <v>0</v>
      </c>
      <c r="K149" s="4">
        <f t="shared" ca="1" si="13"/>
        <v>0</v>
      </c>
      <c r="L149" s="73">
        <f t="shared" ca="1" si="14"/>
        <v>0</v>
      </c>
      <c r="M149" s="6">
        <f t="shared" si="15"/>
        <v>1</v>
      </c>
      <c r="N149">
        <v>0</v>
      </c>
    </row>
    <row r="150" spans="1:14">
      <c r="B150" s="13" t="s">
        <v>31</v>
      </c>
      <c r="C150" s="6">
        <v>0</v>
      </c>
      <c r="D150" s="5"/>
      <c r="E150" s="98"/>
      <c r="F150" s="102"/>
      <c r="G150" s="100"/>
      <c r="H150" s="79"/>
      <c r="I150" s="13" t="s">
        <v>31</v>
      </c>
      <c r="J150" s="14">
        <f t="shared" ca="1" si="16"/>
        <v>0</v>
      </c>
      <c r="K150" s="4">
        <f t="shared" ca="1" si="13"/>
        <v>0</v>
      </c>
      <c r="L150" s="73">
        <f t="shared" ca="1" si="14"/>
        <v>0</v>
      </c>
      <c r="M150" s="6">
        <f t="shared" si="15"/>
        <v>1</v>
      </c>
      <c r="N150">
        <v>0</v>
      </c>
    </row>
    <row r="151" spans="1:14">
      <c r="B151" s="13" t="s">
        <v>346</v>
      </c>
      <c r="C151" s="6">
        <v>51</v>
      </c>
      <c r="D151" s="5"/>
      <c r="E151" s="100"/>
      <c r="F151" s="102"/>
      <c r="G151" s="100"/>
      <c r="H151" s="79"/>
      <c r="I151" s="13" t="s">
        <v>346</v>
      </c>
      <c r="J151" s="14">
        <f t="shared" ca="1" si="16"/>
        <v>51</v>
      </c>
      <c r="K151" s="4">
        <f t="shared" ca="1" si="13"/>
        <v>1</v>
      </c>
      <c r="L151" s="73">
        <f t="shared" ca="1" si="14"/>
        <v>50</v>
      </c>
      <c r="M151" s="6">
        <f t="shared" si="15"/>
        <v>1</v>
      </c>
      <c r="N151">
        <v>51</v>
      </c>
    </row>
    <row r="152" spans="1:14">
      <c r="B152" s="13" t="s">
        <v>347</v>
      </c>
      <c r="C152" s="6">
        <v>11</v>
      </c>
      <c r="D152" s="5"/>
      <c r="E152" s="100"/>
      <c r="F152" s="102"/>
      <c r="G152" s="100"/>
      <c r="H152" s="79"/>
      <c r="I152" s="13" t="s">
        <v>347</v>
      </c>
      <c r="J152" s="14">
        <f t="shared" ca="1" si="16"/>
        <v>11</v>
      </c>
      <c r="K152" s="4">
        <f t="shared" ca="1" si="13"/>
        <v>0</v>
      </c>
      <c r="L152" s="73">
        <f t="shared" ca="1" si="14"/>
        <v>11</v>
      </c>
      <c r="M152" s="6">
        <f t="shared" si="15"/>
        <v>1</v>
      </c>
      <c r="N152">
        <v>11</v>
      </c>
    </row>
    <row r="153" spans="1:14">
      <c r="B153" s="13" t="s">
        <v>97</v>
      </c>
      <c r="C153" s="6">
        <v>0</v>
      </c>
      <c r="D153" s="5"/>
      <c r="E153" s="100"/>
      <c r="F153" s="102"/>
      <c r="G153" s="100"/>
      <c r="H153" s="79"/>
      <c r="I153" s="13" t="s">
        <v>97</v>
      </c>
      <c r="J153" s="14">
        <f t="shared" ca="1" si="16"/>
        <v>0</v>
      </c>
      <c r="K153" s="4">
        <f t="shared" ca="1" si="13"/>
        <v>0</v>
      </c>
      <c r="L153" s="73">
        <f t="shared" ca="1" si="14"/>
        <v>0</v>
      </c>
      <c r="M153" s="6">
        <f t="shared" si="15"/>
        <v>1</v>
      </c>
      <c r="N153">
        <v>0</v>
      </c>
    </row>
    <row r="154" spans="1:14">
      <c r="B154" s="13" t="s">
        <v>98</v>
      </c>
      <c r="C154" s="6">
        <v>0</v>
      </c>
      <c r="D154" s="5"/>
      <c r="E154" s="98"/>
      <c r="F154" s="102"/>
      <c r="G154" s="100"/>
      <c r="H154" s="79"/>
      <c r="I154" s="13" t="s">
        <v>98</v>
      </c>
      <c r="J154" s="14">
        <f t="shared" ca="1" si="16"/>
        <v>0</v>
      </c>
      <c r="K154" s="4">
        <f t="shared" ca="1" si="13"/>
        <v>0</v>
      </c>
      <c r="L154" s="73">
        <f t="shared" ca="1" si="14"/>
        <v>0</v>
      </c>
      <c r="M154" s="6">
        <f t="shared" si="15"/>
        <v>1</v>
      </c>
      <c r="N154">
        <v>0</v>
      </c>
    </row>
    <row r="155" spans="1:14">
      <c r="B155" s="13" t="s">
        <v>99</v>
      </c>
      <c r="C155" s="6">
        <v>0</v>
      </c>
      <c r="D155" s="5"/>
      <c r="E155" s="100"/>
      <c r="F155" s="102"/>
      <c r="G155" s="100"/>
      <c r="H155" s="79"/>
      <c r="I155" s="13" t="s">
        <v>99</v>
      </c>
      <c r="J155" s="14">
        <f t="shared" ca="1" si="16"/>
        <v>0</v>
      </c>
      <c r="K155" s="4">
        <f t="shared" ca="1" si="13"/>
        <v>0</v>
      </c>
      <c r="L155" s="73">
        <f t="shared" ca="1" si="14"/>
        <v>0</v>
      </c>
      <c r="M155" s="6">
        <f t="shared" si="15"/>
        <v>1</v>
      </c>
      <c r="N155">
        <v>0</v>
      </c>
    </row>
    <row r="156" spans="1:14">
      <c r="B156" s="13" t="s">
        <v>348</v>
      </c>
      <c r="C156" s="6">
        <v>0</v>
      </c>
      <c r="D156" s="5"/>
      <c r="E156" s="100"/>
      <c r="F156" s="105"/>
      <c r="G156" s="100"/>
      <c r="H156" s="79"/>
      <c r="I156" s="13" t="s">
        <v>348</v>
      </c>
      <c r="J156" s="14">
        <f t="shared" ca="1" si="16"/>
        <v>0</v>
      </c>
      <c r="K156" s="4">
        <f t="shared" ca="1" si="13"/>
        <v>0</v>
      </c>
      <c r="L156" s="73">
        <f t="shared" ca="1" si="14"/>
        <v>0</v>
      </c>
      <c r="M156" s="6">
        <f t="shared" si="15"/>
        <v>1</v>
      </c>
      <c r="N156">
        <v>0</v>
      </c>
    </row>
    <row r="157" spans="1:14">
      <c r="B157" s="13" t="s">
        <v>100</v>
      </c>
      <c r="C157" s="6">
        <v>10</v>
      </c>
      <c r="D157" s="5"/>
      <c r="E157" s="98"/>
      <c r="F157" s="102"/>
      <c r="G157" s="100"/>
      <c r="H157" s="79"/>
      <c r="I157" s="13" t="s">
        <v>100</v>
      </c>
      <c r="J157" s="14">
        <f t="shared" ca="1" si="16"/>
        <v>10</v>
      </c>
      <c r="K157" s="4">
        <f t="shared" ca="1" si="13"/>
        <v>0</v>
      </c>
      <c r="L157" s="73">
        <f t="shared" ca="1" si="14"/>
        <v>10</v>
      </c>
      <c r="M157" s="6">
        <f t="shared" si="15"/>
        <v>1</v>
      </c>
      <c r="N157">
        <v>10</v>
      </c>
    </row>
    <row r="158" spans="1:14">
      <c r="B158" s="13" t="s">
        <v>101</v>
      </c>
      <c r="C158" s="6">
        <v>0</v>
      </c>
      <c r="D158" s="5"/>
      <c r="E158" s="100"/>
      <c r="F158" s="102"/>
      <c r="G158" s="100"/>
      <c r="H158" s="79"/>
      <c r="I158" s="13" t="s">
        <v>101</v>
      </c>
      <c r="J158" s="14">
        <f t="shared" ca="1" si="16"/>
        <v>0</v>
      </c>
      <c r="K158" s="4">
        <f t="shared" ca="1" si="13"/>
        <v>0</v>
      </c>
      <c r="L158" s="73">
        <f t="shared" ca="1" si="14"/>
        <v>0</v>
      </c>
      <c r="M158" s="6">
        <f t="shared" si="15"/>
        <v>1</v>
      </c>
      <c r="N158">
        <v>0</v>
      </c>
    </row>
    <row r="159" spans="1:14">
      <c r="B159" s="13" t="s">
        <v>349</v>
      </c>
      <c r="C159" s="6">
        <v>10</v>
      </c>
      <c r="D159" s="5"/>
      <c r="E159" s="96"/>
      <c r="F159" s="102"/>
      <c r="G159" s="100"/>
      <c r="H159" s="79"/>
      <c r="I159" s="13" t="s">
        <v>349</v>
      </c>
      <c r="J159" s="14">
        <f t="shared" ca="1" si="16"/>
        <v>10</v>
      </c>
      <c r="K159" s="4">
        <f t="shared" ca="1" si="13"/>
        <v>0</v>
      </c>
      <c r="L159" s="73">
        <f t="shared" ca="1" si="14"/>
        <v>10</v>
      </c>
      <c r="M159" s="6">
        <f t="shared" si="15"/>
        <v>1</v>
      </c>
      <c r="N159">
        <v>10</v>
      </c>
    </row>
    <row r="160" spans="1:14">
      <c r="B160" s="13" t="s">
        <v>350</v>
      </c>
      <c r="C160" s="6">
        <v>0</v>
      </c>
      <c r="D160" s="5"/>
      <c r="E160" s="100"/>
      <c r="F160" s="102"/>
      <c r="G160" s="100"/>
      <c r="H160" s="79"/>
      <c r="I160" s="13" t="s">
        <v>350</v>
      </c>
      <c r="J160" s="14">
        <f t="shared" ca="1" si="16"/>
        <v>0</v>
      </c>
      <c r="K160" s="4">
        <f t="shared" ca="1" si="13"/>
        <v>0</v>
      </c>
      <c r="L160" s="73">
        <f t="shared" ca="1" si="14"/>
        <v>0</v>
      </c>
      <c r="M160" s="6">
        <f t="shared" si="15"/>
        <v>1</v>
      </c>
      <c r="N160">
        <v>0</v>
      </c>
    </row>
    <row r="161" spans="2:14">
      <c r="B161" s="13" t="s">
        <v>102</v>
      </c>
      <c r="C161" s="6">
        <v>0</v>
      </c>
      <c r="D161" s="5"/>
      <c r="E161" s="100"/>
      <c r="F161" s="102"/>
      <c r="G161" s="100"/>
      <c r="H161" s="79"/>
      <c r="I161" s="13" t="s">
        <v>102</v>
      </c>
      <c r="J161" s="14">
        <f t="shared" ca="1" si="16"/>
        <v>0</v>
      </c>
      <c r="K161" s="4">
        <f t="shared" ca="1" si="13"/>
        <v>0</v>
      </c>
      <c r="L161" s="73">
        <f t="shared" ca="1" si="14"/>
        <v>0</v>
      </c>
      <c r="M161" s="6">
        <f t="shared" si="15"/>
        <v>1</v>
      </c>
      <c r="N161">
        <v>0</v>
      </c>
    </row>
    <row r="162" spans="2:14">
      <c r="B162" s="13" t="s">
        <v>103</v>
      </c>
      <c r="C162" s="6">
        <v>0</v>
      </c>
      <c r="D162" s="5"/>
      <c r="E162" s="100"/>
      <c r="F162" s="102"/>
      <c r="G162" s="100"/>
      <c r="H162" s="79"/>
      <c r="I162" s="13" t="s">
        <v>103</v>
      </c>
      <c r="J162" s="14">
        <f t="shared" ca="1" si="16"/>
        <v>0</v>
      </c>
      <c r="K162" s="4">
        <f t="shared" ca="1" si="13"/>
        <v>0</v>
      </c>
      <c r="L162" s="73">
        <f t="shared" ca="1" si="14"/>
        <v>0</v>
      </c>
      <c r="M162" s="6">
        <f t="shared" si="15"/>
        <v>1</v>
      </c>
      <c r="N162">
        <v>0</v>
      </c>
    </row>
    <row r="163" spans="2:14">
      <c r="B163" s="13" t="s">
        <v>104</v>
      </c>
      <c r="C163" s="6">
        <v>0</v>
      </c>
      <c r="D163" s="5"/>
      <c r="E163" s="98"/>
      <c r="F163" s="102"/>
      <c r="G163" s="100"/>
      <c r="I163" s="13" t="s">
        <v>104</v>
      </c>
      <c r="J163" s="14">
        <f t="shared" ca="1" si="16"/>
        <v>0</v>
      </c>
      <c r="K163" s="4">
        <f t="shared" ca="1" si="13"/>
        <v>0</v>
      </c>
      <c r="L163" s="73">
        <f t="shared" ca="1" si="14"/>
        <v>0</v>
      </c>
      <c r="M163" s="6">
        <f t="shared" si="15"/>
        <v>1</v>
      </c>
      <c r="N163">
        <v>0</v>
      </c>
    </row>
    <row r="164" spans="2:14">
      <c r="B164" s="13" t="s">
        <v>105</v>
      </c>
      <c r="C164" s="6">
        <v>0.5</v>
      </c>
      <c r="D164" s="5"/>
      <c r="E164" s="98"/>
      <c r="F164" s="102"/>
      <c r="G164" s="100"/>
      <c r="I164" s="13" t="s">
        <v>105</v>
      </c>
      <c r="J164" s="14">
        <f t="shared" ca="1" si="16"/>
        <v>0.5</v>
      </c>
      <c r="K164" s="4">
        <f t="shared" ca="1" si="13"/>
        <v>0</v>
      </c>
      <c r="L164" s="73">
        <f t="shared" ca="1" si="14"/>
        <v>0.5</v>
      </c>
      <c r="M164" s="6">
        <f t="shared" si="15"/>
        <v>1</v>
      </c>
      <c r="N164">
        <v>0.5</v>
      </c>
    </row>
    <row r="165" spans="2:14">
      <c r="B165" s="13" t="s">
        <v>106</v>
      </c>
      <c r="C165" s="6">
        <v>0</v>
      </c>
      <c r="D165" s="5"/>
      <c r="E165" s="95"/>
      <c r="F165" s="102"/>
      <c r="G165" s="100"/>
      <c r="I165" s="13" t="s">
        <v>106</v>
      </c>
      <c r="J165" s="14">
        <f t="shared" ca="1" si="16"/>
        <v>0</v>
      </c>
      <c r="K165" s="4">
        <f t="shared" ca="1" si="13"/>
        <v>0</v>
      </c>
      <c r="L165" s="73">
        <f t="shared" ca="1" si="14"/>
        <v>0</v>
      </c>
      <c r="M165" s="6">
        <f t="shared" si="15"/>
        <v>1</v>
      </c>
      <c r="N165">
        <v>0</v>
      </c>
    </row>
    <row r="166" spans="2:14">
      <c r="B166" s="13" t="s">
        <v>107</v>
      </c>
      <c r="C166" s="6">
        <v>6</v>
      </c>
      <c r="D166" s="5"/>
      <c r="E166" s="98"/>
      <c r="F166" s="102"/>
      <c r="G166" s="100"/>
      <c r="I166" s="13" t="s">
        <v>107</v>
      </c>
      <c r="J166" s="14">
        <f t="shared" ca="1" si="16"/>
        <v>6</v>
      </c>
      <c r="K166" s="4">
        <f t="shared" ca="1" si="13"/>
        <v>0</v>
      </c>
      <c r="L166" s="73">
        <f t="shared" ca="1" si="14"/>
        <v>6</v>
      </c>
      <c r="M166" s="6">
        <f t="shared" si="15"/>
        <v>1</v>
      </c>
      <c r="N166">
        <v>6</v>
      </c>
    </row>
    <row r="167" spans="2:14">
      <c r="B167" s="13" t="s">
        <v>108</v>
      </c>
      <c r="C167" s="6">
        <v>0</v>
      </c>
      <c r="D167" s="5"/>
      <c r="F167" s="11"/>
      <c r="I167" s="13" t="s">
        <v>108</v>
      </c>
      <c r="J167" s="14">
        <f t="shared" ca="1" si="16"/>
        <v>0</v>
      </c>
      <c r="K167" s="4">
        <f t="shared" ca="1" si="13"/>
        <v>0</v>
      </c>
      <c r="L167" s="73">
        <f t="shared" ca="1" si="14"/>
        <v>0</v>
      </c>
      <c r="M167" s="6">
        <f t="shared" si="15"/>
        <v>1</v>
      </c>
      <c r="N167">
        <v>0</v>
      </c>
    </row>
    <row r="168" spans="2:14">
      <c r="B168" s="13" t="s">
        <v>109</v>
      </c>
      <c r="C168" s="6">
        <v>1</v>
      </c>
      <c r="D168" s="5"/>
      <c r="I168" s="13" t="s">
        <v>109</v>
      </c>
      <c r="J168" s="14">
        <f t="shared" ca="1" si="16"/>
        <v>1</v>
      </c>
      <c r="K168" s="4">
        <f t="shared" ca="1" si="13"/>
        <v>0</v>
      </c>
      <c r="L168" s="73">
        <f t="shared" ca="1" si="14"/>
        <v>1</v>
      </c>
      <c r="M168" s="6">
        <f t="shared" si="15"/>
        <v>1</v>
      </c>
      <c r="N168">
        <v>1</v>
      </c>
    </row>
    <row r="169" spans="2:14">
      <c r="B169" s="13" t="s">
        <v>110</v>
      </c>
      <c r="C169" s="6">
        <v>0</v>
      </c>
      <c r="D169" s="5"/>
      <c r="F169" s="86"/>
      <c r="I169" s="13" t="s">
        <v>110</v>
      </c>
      <c r="J169" s="14">
        <f t="shared" ca="1" si="16"/>
        <v>0</v>
      </c>
      <c r="K169" s="4">
        <f t="shared" ca="1" si="13"/>
        <v>0</v>
      </c>
      <c r="L169" s="73">
        <f t="shared" ca="1" si="14"/>
        <v>0</v>
      </c>
      <c r="M169" s="6">
        <f t="shared" si="15"/>
        <v>1</v>
      </c>
      <c r="N169">
        <v>0</v>
      </c>
    </row>
    <row r="170" spans="2:14">
      <c r="B170" s="13" t="s">
        <v>111</v>
      </c>
      <c r="C170" s="6">
        <v>0</v>
      </c>
      <c r="D170" s="5"/>
      <c r="F170" s="11"/>
      <c r="G170" s="11"/>
      <c r="I170" s="13" t="s">
        <v>111</v>
      </c>
      <c r="J170" s="14">
        <f t="shared" ca="1" si="16"/>
        <v>0</v>
      </c>
      <c r="K170" s="4">
        <f t="shared" ca="1" si="13"/>
        <v>0</v>
      </c>
      <c r="L170" s="73">
        <f t="shared" ca="1" si="14"/>
        <v>0</v>
      </c>
      <c r="M170" s="6">
        <f t="shared" si="15"/>
        <v>1</v>
      </c>
      <c r="N170">
        <v>0</v>
      </c>
    </row>
    <row r="171" spans="2:14">
      <c r="B171" s="13" t="s">
        <v>13</v>
      </c>
      <c r="C171" s="6">
        <v>1</v>
      </c>
      <c r="D171" s="5"/>
      <c r="F171" s="11"/>
      <c r="G171" s="11"/>
      <c r="I171" s="13" t="s">
        <v>13</v>
      </c>
      <c r="J171" s="14">
        <f t="shared" ca="1" si="16"/>
        <v>1</v>
      </c>
      <c r="K171" s="4">
        <f t="shared" ca="1" si="13"/>
        <v>0</v>
      </c>
      <c r="L171" s="73">
        <f t="shared" ca="1" si="14"/>
        <v>1</v>
      </c>
      <c r="M171" s="6">
        <f t="shared" si="15"/>
        <v>1</v>
      </c>
      <c r="N171">
        <v>1</v>
      </c>
    </row>
    <row r="172" spans="2:14">
      <c r="B172" s="13" t="s">
        <v>112</v>
      </c>
      <c r="C172" s="6">
        <v>0</v>
      </c>
      <c r="D172" s="5"/>
      <c r="F172" s="11"/>
      <c r="G172" s="11"/>
      <c r="I172" s="13" t="s">
        <v>112</v>
      </c>
      <c r="J172" s="14">
        <f t="shared" ca="1" si="16"/>
        <v>0</v>
      </c>
      <c r="K172" s="4">
        <f t="shared" ca="1" si="13"/>
        <v>0</v>
      </c>
      <c r="L172" s="73">
        <f t="shared" ca="1" si="14"/>
        <v>0</v>
      </c>
      <c r="M172" s="6">
        <f t="shared" si="15"/>
        <v>1</v>
      </c>
      <c r="N172">
        <v>0</v>
      </c>
    </row>
    <row r="173" spans="2:14">
      <c r="B173" s="13" t="s">
        <v>53</v>
      </c>
      <c r="C173" s="6">
        <v>0</v>
      </c>
      <c r="D173" s="5"/>
      <c r="E173" s="7"/>
      <c r="F173" s="11"/>
      <c r="G173" s="11"/>
      <c r="H173" s="91"/>
      <c r="I173" s="13" t="s">
        <v>53</v>
      </c>
      <c r="J173" s="14">
        <f t="shared" ca="1" si="16"/>
        <v>0</v>
      </c>
      <c r="K173" s="4">
        <f t="shared" ca="1" si="13"/>
        <v>0</v>
      </c>
      <c r="L173" s="73">
        <f t="shared" ca="1" si="14"/>
        <v>0</v>
      </c>
      <c r="M173" s="6">
        <f t="shared" si="15"/>
        <v>1</v>
      </c>
      <c r="N173">
        <v>0</v>
      </c>
    </row>
    <row r="174" spans="2:14">
      <c r="B174" s="13" t="s">
        <v>65</v>
      </c>
      <c r="C174" s="6">
        <v>0</v>
      </c>
      <c r="D174" s="5"/>
      <c r="F174" s="84"/>
      <c r="G174" s="11"/>
      <c r="H174" s="91"/>
      <c r="I174" s="13" t="s">
        <v>65</v>
      </c>
      <c r="J174" s="14">
        <f t="shared" ca="1" si="16"/>
        <v>0</v>
      </c>
      <c r="K174" s="4">
        <f t="shared" ca="1" si="13"/>
        <v>0</v>
      </c>
      <c r="L174" s="73">
        <f t="shared" ca="1" si="14"/>
        <v>0</v>
      </c>
      <c r="M174" s="6">
        <f t="shared" si="15"/>
        <v>1</v>
      </c>
      <c r="N174">
        <v>0</v>
      </c>
    </row>
    <row r="175" spans="2:14">
      <c r="B175" s="13" t="s">
        <v>113</v>
      </c>
      <c r="C175" s="6">
        <v>0</v>
      </c>
      <c r="D175" s="5"/>
      <c r="F175" s="11"/>
      <c r="G175" s="11"/>
      <c r="H175" s="91"/>
      <c r="I175" s="13" t="s">
        <v>113</v>
      </c>
      <c r="J175" s="14">
        <f t="shared" ca="1" si="16"/>
        <v>0</v>
      </c>
      <c r="K175" s="4">
        <f t="shared" ca="1" si="13"/>
        <v>0</v>
      </c>
      <c r="L175" s="73">
        <f t="shared" ca="1" si="14"/>
        <v>0</v>
      </c>
      <c r="M175" s="6">
        <f t="shared" si="15"/>
        <v>1</v>
      </c>
      <c r="N175">
        <v>0</v>
      </c>
    </row>
    <row r="176" spans="2:14">
      <c r="B176" s="13" t="s">
        <v>114</v>
      </c>
      <c r="C176" s="6">
        <v>0</v>
      </c>
      <c r="D176" s="5"/>
      <c r="F176" s="84"/>
      <c r="G176" s="11"/>
      <c r="H176" s="91"/>
      <c r="I176" s="13" t="s">
        <v>114</v>
      </c>
      <c r="J176" s="14">
        <f t="shared" ca="1" si="16"/>
        <v>0</v>
      </c>
      <c r="K176" s="4">
        <f t="shared" ca="1" si="13"/>
        <v>0</v>
      </c>
      <c r="L176" s="73">
        <f t="shared" ca="1" si="14"/>
        <v>0</v>
      </c>
      <c r="M176" s="6">
        <f t="shared" si="15"/>
        <v>1</v>
      </c>
      <c r="N176">
        <v>0</v>
      </c>
    </row>
    <row r="177" spans="1:15">
      <c r="B177" s="13" t="s">
        <v>38</v>
      </c>
      <c r="C177" s="6">
        <v>0.25</v>
      </c>
      <c r="D177" s="5"/>
      <c r="F177" s="11"/>
      <c r="G177" s="11"/>
      <c r="H177" s="91"/>
      <c r="I177" s="13" t="s">
        <v>38</v>
      </c>
      <c r="J177" s="14">
        <f t="shared" ca="1" si="16"/>
        <v>0.25</v>
      </c>
      <c r="K177" s="4">
        <f t="shared" ca="1" si="13"/>
        <v>0</v>
      </c>
      <c r="L177" s="73">
        <f t="shared" ca="1" si="14"/>
        <v>0.25</v>
      </c>
      <c r="M177" s="6">
        <f t="shared" si="15"/>
        <v>1</v>
      </c>
      <c r="N177">
        <v>0.25</v>
      </c>
    </row>
    <row r="178" spans="1:15">
      <c r="B178" s="13" t="s">
        <v>115</v>
      </c>
      <c r="C178" s="6">
        <v>0</v>
      </c>
      <c r="D178" s="5"/>
      <c r="E178" s="7"/>
      <c r="F178" s="11"/>
      <c r="G178" s="11"/>
      <c r="H178" s="91"/>
      <c r="I178" s="13" t="s">
        <v>115</v>
      </c>
      <c r="J178" s="14">
        <f t="shared" ca="1" si="16"/>
        <v>0</v>
      </c>
      <c r="K178" s="4">
        <f t="shared" ca="1" si="13"/>
        <v>0</v>
      </c>
      <c r="L178" s="73">
        <f t="shared" ca="1" si="14"/>
        <v>0</v>
      </c>
      <c r="M178" s="6">
        <f t="shared" si="15"/>
        <v>1</v>
      </c>
      <c r="N178">
        <v>0</v>
      </c>
    </row>
    <row r="179" spans="1:15" s="26" customFormat="1">
      <c r="A179" s="1"/>
      <c r="B179" s="13" t="s">
        <v>116</v>
      </c>
      <c r="C179" s="47">
        <v>0</v>
      </c>
      <c r="D179" s="5"/>
      <c r="E179" s="1"/>
      <c r="F179" s="84"/>
      <c r="G179" s="11"/>
      <c r="H179" s="91"/>
      <c r="I179" s="13" t="s">
        <v>116</v>
      </c>
      <c r="J179" s="14">
        <f t="shared" ca="1" si="16"/>
        <v>0</v>
      </c>
      <c r="K179" s="4">
        <f t="shared" ca="1" si="13"/>
        <v>0</v>
      </c>
      <c r="L179" s="73">
        <f t="shared" ca="1" si="14"/>
        <v>0</v>
      </c>
      <c r="M179" s="6">
        <f t="shared" si="15"/>
        <v>1</v>
      </c>
      <c r="N179" s="26">
        <v>0</v>
      </c>
      <c r="O179" s="6"/>
    </row>
    <row r="180" spans="1:15">
      <c r="B180" s="13" t="s">
        <v>117</v>
      </c>
      <c r="C180" s="6">
        <v>0</v>
      </c>
      <c r="D180" s="5"/>
      <c r="F180" s="11"/>
      <c r="H180" s="91"/>
      <c r="I180" s="13" t="s">
        <v>117</v>
      </c>
      <c r="J180" s="14">
        <f t="shared" ca="1" si="16"/>
        <v>0</v>
      </c>
      <c r="K180" s="4">
        <f t="shared" ca="1" si="13"/>
        <v>0</v>
      </c>
      <c r="L180" s="73">
        <f t="shared" ca="1" si="14"/>
        <v>0</v>
      </c>
      <c r="M180" s="6">
        <f t="shared" si="15"/>
        <v>1</v>
      </c>
      <c r="N180">
        <v>0</v>
      </c>
    </row>
    <row r="181" spans="1:15">
      <c r="B181" s="13" t="s">
        <v>118</v>
      </c>
      <c r="C181" s="6">
        <v>0</v>
      </c>
      <c r="D181" s="5"/>
      <c r="F181" s="84"/>
      <c r="I181" s="13" t="s">
        <v>118</v>
      </c>
      <c r="J181" s="14">
        <f t="shared" ca="1" si="16"/>
        <v>0</v>
      </c>
      <c r="K181" s="4">
        <f t="shared" ca="1" si="13"/>
        <v>0</v>
      </c>
      <c r="L181" s="73">
        <f t="shared" ca="1" si="14"/>
        <v>0</v>
      </c>
      <c r="M181" s="6">
        <f t="shared" si="15"/>
        <v>1</v>
      </c>
      <c r="N181">
        <v>0</v>
      </c>
    </row>
    <row r="182" spans="1:15">
      <c r="B182" s="13" t="s">
        <v>119</v>
      </c>
      <c r="C182" s="6">
        <v>0</v>
      </c>
      <c r="D182" s="5"/>
      <c r="F182" s="11"/>
      <c r="I182" s="13" t="s">
        <v>119</v>
      </c>
      <c r="J182" s="14">
        <f t="shared" ca="1" si="16"/>
        <v>0</v>
      </c>
      <c r="K182" s="4">
        <f t="shared" ca="1" si="13"/>
        <v>0</v>
      </c>
      <c r="L182" s="73">
        <f t="shared" ca="1" si="14"/>
        <v>0</v>
      </c>
      <c r="M182" s="6">
        <f t="shared" si="15"/>
        <v>1</v>
      </c>
      <c r="N182">
        <v>0</v>
      </c>
    </row>
    <row r="183" spans="1:15">
      <c r="B183" s="13" t="s">
        <v>37</v>
      </c>
      <c r="C183" s="6">
        <v>0</v>
      </c>
      <c r="D183" s="5"/>
      <c r="F183" s="11"/>
      <c r="I183" s="13" t="s">
        <v>37</v>
      </c>
      <c r="J183" s="14">
        <f t="shared" ca="1" si="16"/>
        <v>0</v>
      </c>
      <c r="K183" s="4">
        <f t="shared" ca="1" si="13"/>
        <v>0</v>
      </c>
      <c r="L183" s="73">
        <f t="shared" ca="1" si="14"/>
        <v>0</v>
      </c>
      <c r="M183" s="6">
        <f t="shared" si="15"/>
        <v>1</v>
      </c>
      <c r="N183">
        <v>0</v>
      </c>
    </row>
    <row r="184" spans="1:15">
      <c r="A184" s="27"/>
      <c r="B184" s="13" t="s">
        <v>680</v>
      </c>
      <c r="C184" s="6">
        <v>0</v>
      </c>
      <c r="D184" s="5"/>
      <c r="F184" s="11"/>
      <c r="H184" s="26"/>
      <c r="I184" s="13" t="s">
        <v>680</v>
      </c>
      <c r="J184" s="14">
        <f t="shared" ca="1" si="16"/>
        <v>0</v>
      </c>
      <c r="K184" s="25">
        <f t="shared" ca="1" si="13"/>
        <v>0</v>
      </c>
      <c r="L184" s="75">
        <f t="shared" ca="1" si="14"/>
        <v>0</v>
      </c>
      <c r="M184" s="6">
        <f t="shared" si="15"/>
        <v>1</v>
      </c>
      <c r="N184">
        <v>0</v>
      </c>
    </row>
    <row r="185" spans="1:15">
      <c r="A185" s="7"/>
      <c r="B185" s="13" t="s">
        <v>120</v>
      </c>
      <c r="C185" s="6">
        <v>0</v>
      </c>
      <c r="D185" s="5"/>
      <c r="E185" s="7"/>
      <c r="F185" s="11"/>
      <c r="I185" s="13" t="s">
        <v>120</v>
      </c>
      <c r="J185" s="14">
        <f t="shared" ca="1" si="16"/>
        <v>0</v>
      </c>
      <c r="K185" s="4">
        <f t="shared" ca="1" si="13"/>
        <v>0</v>
      </c>
      <c r="L185" s="73">
        <f t="shared" ca="1" si="14"/>
        <v>0</v>
      </c>
      <c r="M185" s="6">
        <f t="shared" si="15"/>
        <v>1</v>
      </c>
      <c r="N185">
        <v>0</v>
      </c>
    </row>
    <row r="186" spans="1:15">
      <c r="B186" s="13" t="s">
        <v>279</v>
      </c>
      <c r="C186" s="6">
        <v>0</v>
      </c>
      <c r="D186" s="5"/>
      <c r="F186" s="11"/>
      <c r="I186" s="13" t="s">
        <v>279</v>
      </c>
      <c r="J186" s="14">
        <f t="shared" ca="1" si="16"/>
        <v>0</v>
      </c>
      <c r="K186" s="4">
        <f t="shared" ca="1" si="13"/>
        <v>0</v>
      </c>
      <c r="L186" s="73">
        <f t="shared" ca="1" si="14"/>
        <v>0</v>
      </c>
      <c r="M186" s="6">
        <f t="shared" si="15"/>
        <v>1</v>
      </c>
      <c r="N186">
        <v>0</v>
      </c>
    </row>
    <row r="187" spans="1:15">
      <c r="B187" s="13" t="s">
        <v>681</v>
      </c>
      <c r="C187" s="6">
        <v>0</v>
      </c>
      <c r="D187" s="5"/>
      <c r="E187" s="97"/>
      <c r="F187" s="11"/>
      <c r="I187" s="13" t="s">
        <v>681</v>
      </c>
      <c r="J187" s="14">
        <f t="shared" ca="1" si="16"/>
        <v>0</v>
      </c>
      <c r="K187" s="4">
        <f t="shared" ca="1" si="13"/>
        <v>0</v>
      </c>
      <c r="L187" s="73">
        <f t="shared" ca="1" si="14"/>
        <v>0</v>
      </c>
      <c r="M187" s="6">
        <f t="shared" si="15"/>
        <v>1</v>
      </c>
      <c r="N187">
        <v>0</v>
      </c>
    </row>
    <row r="188" spans="1:15">
      <c r="B188" s="13" t="s">
        <v>40</v>
      </c>
      <c r="C188" s="6">
        <v>3</v>
      </c>
      <c r="D188" s="5"/>
      <c r="F188" s="11"/>
      <c r="I188" s="13" t="s">
        <v>40</v>
      </c>
      <c r="J188" s="14">
        <f t="shared" ca="1" si="16"/>
        <v>3</v>
      </c>
      <c r="K188" s="4">
        <f t="shared" ca="1" si="13"/>
        <v>0</v>
      </c>
      <c r="L188" s="73">
        <f t="shared" ca="1" si="14"/>
        <v>3</v>
      </c>
      <c r="M188" s="6">
        <f t="shared" si="15"/>
        <v>1</v>
      </c>
      <c r="N188">
        <v>3</v>
      </c>
    </row>
    <row r="189" spans="1:15">
      <c r="B189" s="13" t="s">
        <v>39</v>
      </c>
      <c r="C189" s="6">
        <v>16</v>
      </c>
      <c r="D189" s="5"/>
      <c r="F189" s="11"/>
      <c r="I189" s="13" t="s">
        <v>39</v>
      </c>
      <c r="J189" s="14">
        <f t="shared" ca="1" si="16"/>
        <v>16</v>
      </c>
      <c r="K189" s="4">
        <f t="shared" ca="1" si="13"/>
        <v>0</v>
      </c>
      <c r="L189" s="73">
        <f t="shared" ca="1" si="14"/>
        <v>16</v>
      </c>
      <c r="M189" s="6">
        <f t="shared" si="15"/>
        <v>1</v>
      </c>
      <c r="N189">
        <v>16</v>
      </c>
    </row>
    <row r="190" spans="1:15">
      <c r="B190" s="13" t="s">
        <v>682</v>
      </c>
      <c r="C190" s="6">
        <v>0</v>
      </c>
      <c r="D190" s="5"/>
      <c r="E190" s="7"/>
      <c r="F190" s="11"/>
      <c r="I190" s="13" t="s">
        <v>682</v>
      </c>
      <c r="J190" s="14">
        <f t="shared" ca="1" si="16"/>
        <v>0</v>
      </c>
      <c r="K190" s="4">
        <f t="shared" ca="1" si="13"/>
        <v>0</v>
      </c>
      <c r="L190" s="73">
        <f t="shared" ca="1" si="14"/>
        <v>0</v>
      </c>
      <c r="M190" s="6">
        <f t="shared" si="15"/>
        <v>1</v>
      </c>
      <c r="N190">
        <v>0</v>
      </c>
    </row>
    <row r="191" spans="1:15">
      <c r="B191" s="13" t="s">
        <v>121</v>
      </c>
      <c r="C191" s="6">
        <v>0</v>
      </c>
      <c r="D191" s="5"/>
      <c r="F191" s="11"/>
      <c r="I191" s="13" t="s">
        <v>121</v>
      </c>
      <c r="J191" s="14">
        <f t="shared" ca="1" si="16"/>
        <v>0</v>
      </c>
      <c r="K191" s="4">
        <f t="shared" ca="1" si="13"/>
        <v>0</v>
      </c>
      <c r="L191" s="73">
        <f t="shared" ca="1" si="14"/>
        <v>0</v>
      </c>
      <c r="M191" s="6">
        <f t="shared" si="15"/>
        <v>1</v>
      </c>
      <c r="N191">
        <v>0</v>
      </c>
    </row>
    <row r="192" spans="1:15">
      <c r="B192" s="13" t="s">
        <v>122</v>
      </c>
      <c r="C192" s="6">
        <v>0</v>
      </c>
      <c r="D192" s="5"/>
      <c r="F192" s="14"/>
      <c r="I192" s="13" t="s">
        <v>122</v>
      </c>
      <c r="J192" s="14">
        <f t="shared" ca="1" si="16"/>
        <v>0</v>
      </c>
      <c r="K192" s="4">
        <f t="shared" ca="1" si="13"/>
        <v>0</v>
      </c>
      <c r="L192" s="73">
        <f t="shared" ca="1" si="14"/>
        <v>0</v>
      </c>
      <c r="M192" s="6">
        <f t="shared" si="15"/>
        <v>1</v>
      </c>
      <c r="N192">
        <v>0</v>
      </c>
    </row>
    <row r="193" spans="1:15" s="26" customFormat="1">
      <c r="A193" s="1"/>
      <c r="B193" s="13" t="s">
        <v>683</v>
      </c>
      <c r="C193" s="47">
        <v>0</v>
      </c>
      <c r="D193" s="5"/>
      <c r="E193" s="1"/>
      <c r="F193" s="11"/>
      <c r="G193" s="4"/>
      <c r="H193"/>
      <c r="I193" s="13" t="s">
        <v>683</v>
      </c>
      <c r="J193" s="14">
        <f t="shared" ca="1" si="16"/>
        <v>0</v>
      </c>
      <c r="K193" s="4">
        <f t="shared" ca="1" si="13"/>
        <v>0</v>
      </c>
      <c r="L193" s="73">
        <f t="shared" ca="1" si="14"/>
        <v>0</v>
      </c>
      <c r="M193" s="6">
        <f t="shared" si="15"/>
        <v>1</v>
      </c>
      <c r="N193" s="26">
        <v>0</v>
      </c>
      <c r="O193" s="6"/>
    </row>
    <row r="194" spans="1:15">
      <c r="B194" s="13" t="s">
        <v>351</v>
      </c>
      <c r="C194" s="6">
        <v>0</v>
      </c>
      <c r="D194" s="5"/>
      <c r="F194" s="36"/>
      <c r="I194" s="13" t="s">
        <v>351</v>
      </c>
      <c r="J194" s="14">
        <f t="shared" ca="1" si="16"/>
        <v>0</v>
      </c>
      <c r="K194" s="4">
        <f t="shared" ref="K194:K257" ca="1" si="17">SUMIF(F:G,I194,G:G)</f>
        <v>0</v>
      </c>
      <c r="L194" s="73">
        <f t="shared" ref="L194:L257" ca="1" si="18">J194-K194</f>
        <v>0</v>
      </c>
      <c r="M194" s="6">
        <f t="shared" si="15"/>
        <v>1</v>
      </c>
      <c r="N194">
        <v>0</v>
      </c>
    </row>
    <row r="195" spans="1:15">
      <c r="B195" s="13" t="s">
        <v>14</v>
      </c>
      <c r="C195" s="6">
        <v>0</v>
      </c>
      <c r="D195" s="5"/>
      <c r="F195" s="11"/>
      <c r="I195" s="13" t="s">
        <v>14</v>
      </c>
      <c r="J195" s="14">
        <f t="shared" ca="1" si="16"/>
        <v>0</v>
      </c>
      <c r="K195" s="4">
        <f t="shared" ca="1" si="17"/>
        <v>0</v>
      </c>
      <c r="L195" s="73">
        <f t="shared" ca="1" si="18"/>
        <v>0</v>
      </c>
      <c r="M195" s="6">
        <f t="shared" si="15"/>
        <v>1</v>
      </c>
      <c r="N195">
        <v>0</v>
      </c>
    </row>
    <row r="196" spans="1:15">
      <c r="B196" s="13" t="s">
        <v>123</v>
      </c>
      <c r="C196" s="6">
        <v>0</v>
      </c>
      <c r="D196" s="5"/>
      <c r="F196" s="11"/>
      <c r="I196" s="13" t="s">
        <v>123</v>
      </c>
      <c r="J196" s="14">
        <f t="shared" ca="1" si="16"/>
        <v>0</v>
      </c>
      <c r="K196" s="4">
        <f t="shared" ca="1" si="17"/>
        <v>0</v>
      </c>
      <c r="L196" s="73">
        <f t="shared" ca="1" si="18"/>
        <v>0</v>
      </c>
      <c r="M196" s="6">
        <f t="shared" si="15"/>
        <v>1</v>
      </c>
      <c r="N196">
        <v>0</v>
      </c>
    </row>
    <row r="197" spans="1:15">
      <c r="B197" s="13" t="s">
        <v>352</v>
      </c>
      <c r="C197" s="6">
        <v>0</v>
      </c>
      <c r="D197" s="5"/>
      <c r="F197" s="14"/>
      <c r="I197" s="13" t="s">
        <v>352</v>
      </c>
      <c r="J197" s="14">
        <f t="shared" ca="1" si="16"/>
        <v>0</v>
      </c>
      <c r="K197" s="4">
        <f t="shared" ca="1" si="17"/>
        <v>0</v>
      </c>
      <c r="L197" s="73">
        <f t="shared" ca="1" si="18"/>
        <v>0</v>
      </c>
      <c r="M197" s="6">
        <f t="shared" ref="M197:M260" si="19">MATCH(I197,B197,0)</f>
        <v>1</v>
      </c>
      <c r="N197">
        <v>0</v>
      </c>
    </row>
    <row r="198" spans="1:15">
      <c r="A198" s="27"/>
      <c r="B198" s="13" t="s">
        <v>684</v>
      </c>
      <c r="C198" s="6">
        <v>0</v>
      </c>
      <c r="D198" s="5"/>
      <c r="F198" s="14"/>
      <c r="H198" s="26"/>
      <c r="I198" s="13" t="s">
        <v>684</v>
      </c>
      <c r="J198" s="14">
        <f t="shared" ca="1" si="16"/>
        <v>0</v>
      </c>
      <c r="K198" s="25">
        <f t="shared" ca="1" si="17"/>
        <v>0</v>
      </c>
      <c r="L198" s="75">
        <f t="shared" ca="1" si="18"/>
        <v>0</v>
      </c>
      <c r="M198" s="6">
        <f t="shared" si="19"/>
        <v>1</v>
      </c>
      <c r="N198">
        <v>0</v>
      </c>
    </row>
    <row r="199" spans="1:15">
      <c r="B199" s="13" t="s">
        <v>124</v>
      </c>
      <c r="C199" s="6">
        <v>0</v>
      </c>
      <c r="D199" s="5"/>
      <c r="E199" s="7"/>
      <c r="I199" s="13" t="s">
        <v>124</v>
      </c>
      <c r="J199" s="14">
        <f t="shared" ca="1" si="16"/>
        <v>0</v>
      </c>
      <c r="K199" s="4">
        <f t="shared" ca="1" si="17"/>
        <v>0</v>
      </c>
      <c r="L199" s="73">
        <f t="shared" ca="1" si="18"/>
        <v>0</v>
      </c>
      <c r="M199" s="6">
        <f t="shared" si="19"/>
        <v>1</v>
      </c>
      <c r="N199">
        <v>0</v>
      </c>
    </row>
    <row r="200" spans="1:15">
      <c r="A200" s="7"/>
      <c r="B200" s="13" t="s">
        <v>125</v>
      </c>
      <c r="C200" s="6">
        <v>0</v>
      </c>
      <c r="D200" s="5"/>
      <c r="F200" s="11"/>
      <c r="I200" s="13" t="s">
        <v>125</v>
      </c>
      <c r="J200" s="14">
        <f t="shared" ca="1" si="16"/>
        <v>0</v>
      </c>
      <c r="K200" s="4">
        <f t="shared" ca="1" si="17"/>
        <v>0</v>
      </c>
      <c r="L200" s="73">
        <f t="shared" ca="1" si="18"/>
        <v>0</v>
      </c>
      <c r="M200" s="6">
        <f t="shared" si="19"/>
        <v>1</v>
      </c>
      <c r="N200">
        <v>0</v>
      </c>
    </row>
    <row r="201" spans="1:15">
      <c r="B201" s="13" t="s">
        <v>126</v>
      </c>
      <c r="C201" s="6">
        <v>0</v>
      </c>
      <c r="D201" s="5"/>
      <c r="F201" s="14"/>
      <c r="I201" s="13" t="s">
        <v>126</v>
      </c>
      <c r="J201" s="14">
        <f t="shared" ca="1" si="16"/>
        <v>0</v>
      </c>
      <c r="K201" s="4">
        <f t="shared" ca="1" si="17"/>
        <v>0</v>
      </c>
      <c r="L201" s="73">
        <f t="shared" ca="1" si="18"/>
        <v>0</v>
      </c>
      <c r="M201" s="6">
        <f t="shared" si="19"/>
        <v>1</v>
      </c>
      <c r="N201">
        <v>0</v>
      </c>
    </row>
    <row r="202" spans="1:15">
      <c r="B202" s="13" t="s">
        <v>353</v>
      </c>
      <c r="C202" s="6">
        <v>0</v>
      </c>
      <c r="D202" s="5"/>
      <c r="I202" s="13" t="s">
        <v>353</v>
      </c>
      <c r="J202" s="14">
        <f t="shared" ca="1" si="16"/>
        <v>0</v>
      </c>
      <c r="K202" s="4">
        <f t="shared" ca="1" si="17"/>
        <v>0</v>
      </c>
      <c r="L202" s="73">
        <f t="shared" ca="1" si="18"/>
        <v>0</v>
      </c>
      <c r="M202" s="6">
        <f t="shared" si="19"/>
        <v>1</v>
      </c>
      <c r="N202">
        <v>0</v>
      </c>
    </row>
    <row r="203" spans="1:15">
      <c r="B203" s="13" t="s">
        <v>354</v>
      </c>
      <c r="C203" s="6">
        <v>0</v>
      </c>
      <c r="D203" s="5"/>
      <c r="E203" s="90"/>
      <c r="F203" s="11"/>
      <c r="I203" s="13" t="s">
        <v>354</v>
      </c>
      <c r="J203" s="14">
        <f t="shared" ca="1" si="16"/>
        <v>0</v>
      </c>
      <c r="K203" s="4">
        <f t="shared" ca="1" si="17"/>
        <v>0</v>
      </c>
      <c r="L203" s="73">
        <f t="shared" ca="1" si="18"/>
        <v>0</v>
      </c>
      <c r="M203" s="6">
        <f t="shared" si="19"/>
        <v>1</v>
      </c>
      <c r="N203">
        <v>0</v>
      </c>
    </row>
    <row r="204" spans="1:15">
      <c r="B204" s="13" t="s">
        <v>355</v>
      </c>
      <c r="C204" s="6">
        <v>0</v>
      </c>
      <c r="D204" s="5"/>
      <c r="E204" s="14"/>
      <c r="F204" s="11"/>
      <c r="I204" s="13" t="s">
        <v>355</v>
      </c>
      <c r="J204" s="14">
        <f t="shared" ref="J204:J267" ca="1" si="20">SUMIF(B:C,I204,C:C)</f>
        <v>0</v>
      </c>
      <c r="K204" s="4">
        <f t="shared" ca="1" si="17"/>
        <v>0</v>
      </c>
      <c r="L204" s="73">
        <f t="shared" ca="1" si="18"/>
        <v>0</v>
      </c>
      <c r="M204" s="6">
        <f t="shared" si="19"/>
        <v>1</v>
      </c>
      <c r="N204">
        <v>0</v>
      </c>
    </row>
    <row r="205" spans="1:15">
      <c r="B205" s="13" t="s">
        <v>356</v>
      </c>
      <c r="C205" s="6">
        <v>0</v>
      </c>
      <c r="D205" s="5"/>
      <c r="E205" s="103"/>
      <c r="F205" s="84"/>
      <c r="I205" s="13" t="s">
        <v>356</v>
      </c>
      <c r="J205" s="14">
        <f t="shared" ca="1" si="20"/>
        <v>0</v>
      </c>
      <c r="K205" s="4">
        <f t="shared" ca="1" si="17"/>
        <v>0</v>
      </c>
      <c r="L205" s="73">
        <f t="shared" ca="1" si="18"/>
        <v>0</v>
      </c>
      <c r="M205" s="6">
        <f t="shared" si="19"/>
        <v>1</v>
      </c>
      <c r="N205">
        <v>0</v>
      </c>
    </row>
    <row r="206" spans="1:15">
      <c r="B206" s="13" t="s">
        <v>44</v>
      </c>
      <c r="C206" s="6">
        <v>14</v>
      </c>
      <c r="D206" s="5"/>
      <c r="E206" s="103"/>
      <c r="F206" s="11"/>
      <c r="I206" s="13" t="s">
        <v>44</v>
      </c>
      <c r="J206" s="14">
        <f t="shared" ca="1" si="20"/>
        <v>14</v>
      </c>
      <c r="K206" s="4">
        <f t="shared" ca="1" si="17"/>
        <v>3</v>
      </c>
      <c r="L206" s="73">
        <f t="shared" ca="1" si="18"/>
        <v>11</v>
      </c>
      <c r="M206" s="6">
        <f t="shared" si="19"/>
        <v>1</v>
      </c>
      <c r="N206">
        <v>14</v>
      </c>
    </row>
    <row r="207" spans="1:15">
      <c r="B207" s="13" t="s">
        <v>45</v>
      </c>
      <c r="C207" s="6">
        <v>1</v>
      </c>
      <c r="D207" s="5"/>
      <c r="E207" s="103"/>
      <c r="F207" s="11"/>
      <c r="I207" s="13" t="s">
        <v>45</v>
      </c>
      <c r="J207" s="14">
        <f t="shared" ca="1" si="20"/>
        <v>1</v>
      </c>
      <c r="K207" s="4">
        <f t="shared" ca="1" si="17"/>
        <v>2</v>
      </c>
      <c r="L207" s="73">
        <f t="shared" ca="1" si="18"/>
        <v>-1</v>
      </c>
      <c r="M207" s="6">
        <f t="shared" si="19"/>
        <v>1</v>
      </c>
      <c r="N207">
        <v>1</v>
      </c>
    </row>
    <row r="208" spans="1:15">
      <c r="B208" s="13" t="s">
        <v>42</v>
      </c>
      <c r="C208" s="6">
        <v>23</v>
      </c>
      <c r="D208" s="5"/>
      <c r="E208" s="103"/>
      <c r="F208" s="11"/>
      <c r="H208" s="6"/>
      <c r="I208" s="13" t="s">
        <v>42</v>
      </c>
      <c r="J208" s="14">
        <f t="shared" ca="1" si="20"/>
        <v>23</v>
      </c>
      <c r="K208" s="4">
        <f t="shared" ca="1" si="17"/>
        <v>5</v>
      </c>
      <c r="L208" s="73">
        <f t="shared" ca="1" si="18"/>
        <v>18</v>
      </c>
      <c r="M208" s="6">
        <f t="shared" si="19"/>
        <v>1</v>
      </c>
      <c r="N208">
        <v>23</v>
      </c>
    </row>
    <row r="209" spans="1:15">
      <c r="B209" s="13" t="s">
        <v>43</v>
      </c>
      <c r="C209" s="6">
        <v>42</v>
      </c>
      <c r="D209" s="5"/>
      <c r="E209" s="103"/>
      <c r="H209" s="6"/>
      <c r="I209" s="13" t="s">
        <v>43</v>
      </c>
      <c r="J209" s="14">
        <f t="shared" ca="1" si="20"/>
        <v>42</v>
      </c>
      <c r="K209" s="4">
        <f t="shared" ca="1" si="17"/>
        <v>2</v>
      </c>
      <c r="L209" s="73">
        <f t="shared" ca="1" si="18"/>
        <v>40</v>
      </c>
      <c r="M209" s="6">
        <f t="shared" si="19"/>
        <v>1</v>
      </c>
      <c r="N209">
        <v>42</v>
      </c>
    </row>
    <row r="210" spans="1:15">
      <c r="B210" s="13" t="s">
        <v>59</v>
      </c>
      <c r="C210" s="6">
        <v>0</v>
      </c>
      <c r="D210" s="5"/>
      <c r="E210" s="103"/>
      <c r="F210" s="86"/>
      <c r="H210" s="6"/>
      <c r="I210" s="13" t="s">
        <v>59</v>
      </c>
      <c r="J210" s="14">
        <f t="shared" ca="1" si="20"/>
        <v>0</v>
      </c>
      <c r="K210" s="4">
        <f t="shared" ca="1" si="17"/>
        <v>0</v>
      </c>
      <c r="L210" s="73">
        <f t="shared" ca="1" si="18"/>
        <v>0</v>
      </c>
      <c r="M210" s="6">
        <f t="shared" si="19"/>
        <v>1</v>
      </c>
      <c r="N210">
        <v>0</v>
      </c>
    </row>
    <row r="211" spans="1:15">
      <c r="B211" s="13" t="s">
        <v>60</v>
      </c>
      <c r="C211" s="6">
        <v>0</v>
      </c>
      <c r="D211" s="5"/>
      <c r="E211" s="103"/>
      <c r="H211" s="6"/>
      <c r="I211" s="13" t="s">
        <v>60</v>
      </c>
      <c r="J211" s="14">
        <f t="shared" ca="1" si="20"/>
        <v>0</v>
      </c>
      <c r="K211" s="4">
        <f t="shared" ca="1" si="17"/>
        <v>0</v>
      </c>
      <c r="L211" s="73">
        <f t="shared" ca="1" si="18"/>
        <v>0</v>
      </c>
      <c r="M211" s="6">
        <f t="shared" si="19"/>
        <v>1</v>
      </c>
      <c r="N211">
        <v>-1</v>
      </c>
    </row>
    <row r="212" spans="1:15">
      <c r="B212" s="13" t="s">
        <v>46</v>
      </c>
      <c r="C212" s="6">
        <v>0</v>
      </c>
      <c r="D212" s="5"/>
      <c r="E212" s="103"/>
      <c r="F212" s="14"/>
      <c r="H212" s="6"/>
      <c r="I212" s="13" t="s">
        <v>46</v>
      </c>
      <c r="J212" s="14">
        <f t="shared" ca="1" si="20"/>
        <v>0</v>
      </c>
      <c r="K212" s="4">
        <f t="shared" ca="1" si="17"/>
        <v>0</v>
      </c>
      <c r="L212" s="73">
        <f t="shared" ca="1" si="18"/>
        <v>0</v>
      </c>
      <c r="M212" s="6">
        <f t="shared" si="19"/>
        <v>1</v>
      </c>
      <c r="N212">
        <v>-2</v>
      </c>
    </row>
    <row r="213" spans="1:15">
      <c r="B213" s="13" t="s">
        <v>58</v>
      </c>
      <c r="C213" s="6">
        <v>3</v>
      </c>
      <c r="D213" s="5"/>
      <c r="E213" s="103"/>
      <c r="F213" s="14"/>
      <c r="H213" s="6"/>
      <c r="I213" s="13" t="s">
        <v>58</v>
      </c>
      <c r="J213" s="14">
        <f t="shared" ca="1" si="20"/>
        <v>3</v>
      </c>
      <c r="K213" s="4">
        <f t="shared" ca="1" si="17"/>
        <v>0</v>
      </c>
      <c r="L213" s="73">
        <f t="shared" ca="1" si="18"/>
        <v>3</v>
      </c>
      <c r="M213" s="6">
        <f t="shared" si="19"/>
        <v>1</v>
      </c>
      <c r="N213">
        <v>3</v>
      </c>
    </row>
    <row r="214" spans="1:15">
      <c r="B214" s="13" t="s">
        <v>47</v>
      </c>
      <c r="C214" s="6">
        <v>56</v>
      </c>
      <c r="D214" s="5"/>
      <c r="E214" s="103"/>
      <c r="F214" s="14"/>
      <c r="H214" s="6"/>
      <c r="I214" s="13" t="s">
        <v>47</v>
      </c>
      <c r="J214" s="14">
        <f t="shared" ca="1" si="20"/>
        <v>56</v>
      </c>
      <c r="K214" s="4">
        <f t="shared" ca="1" si="17"/>
        <v>0</v>
      </c>
      <c r="L214" s="73">
        <f t="shared" ca="1" si="18"/>
        <v>56</v>
      </c>
      <c r="M214" s="6">
        <f t="shared" si="19"/>
        <v>1</v>
      </c>
      <c r="N214">
        <v>56</v>
      </c>
    </row>
    <row r="215" spans="1:15">
      <c r="B215" s="13" t="s">
        <v>57</v>
      </c>
      <c r="C215" s="6">
        <v>15</v>
      </c>
      <c r="D215" s="5"/>
      <c r="E215" s="103"/>
      <c r="F215" s="84"/>
      <c r="H215" s="79"/>
      <c r="I215" s="13" t="s">
        <v>57</v>
      </c>
      <c r="J215" s="14">
        <f t="shared" ca="1" si="20"/>
        <v>15</v>
      </c>
      <c r="K215" s="4">
        <f t="shared" ca="1" si="17"/>
        <v>1</v>
      </c>
      <c r="L215" s="73">
        <f t="shared" ca="1" si="18"/>
        <v>14</v>
      </c>
      <c r="M215" s="6">
        <f t="shared" si="19"/>
        <v>1</v>
      </c>
      <c r="N215">
        <v>15</v>
      </c>
    </row>
    <row r="216" spans="1:15">
      <c r="B216" s="13" t="s">
        <v>49</v>
      </c>
      <c r="C216" s="6">
        <v>17</v>
      </c>
      <c r="D216" s="5"/>
      <c r="E216" s="103"/>
      <c r="F216" s="11"/>
      <c r="H216" s="79"/>
      <c r="I216" s="13" t="s">
        <v>49</v>
      </c>
      <c r="J216" s="14">
        <f t="shared" ca="1" si="20"/>
        <v>17</v>
      </c>
      <c r="K216" s="4">
        <f t="shared" ca="1" si="17"/>
        <v>0</v>
      </c>
      <c r="L216" s="73">
        <f t="shared" ca="1" si="18"/>
        <v>17</v>
      </c>
      <c r="M216" s="6">
        <f t="shared" si="19"/>
        <v>1</v>
      </c>
      <c r="N216">
        <v>17</v>
      </c>
    </row>
    <row r="217" spans="1:15">
      <c r="A217" s="7"/>
      <c r="B217" s="13" t="s">
        <v>48</v>
      </c>
      <c r="C217" s="6">
        <v>14</v>
      </c>
      <c r="D217" s="5"/>
      <c r="E217" s="103"/>
      <c r="F217" s="11"/>
      <c r="H217" s="79"/>
      <c r="I217" s="13" t="s">
        <v>48</v>
      </c>
      <c r="J217" s="14">
        <f t="shared" ca="1" si="20"/>
        <v>14</v>
      </c>
      <c r="K217" s="4">
        <f t="shared" ca="1" si="17"/>
        <v>4</v>
      </c>
      <c r="L217" s="73">
        <f t="shared" ca="1" si="18"/>
        <v>10</v>
      </c>
      <c r="M217" s="6">
        <f t="shared" si="19"/>
        <v>1</v>
      </c>
      <c r="N217">
        <v>14</v>
      </c>
    </row>
    <row r="218" spans="1:15">
      <c r="B218" s="13" t="s">
        <v>55</v>
      </c>
      <c r="C218" s="6">
        <v>36</v>
      </c>
      <c r="D218" s="5"/>
      <c r="E218" s="103"/>
      <c r="F218" s="84"/>
      <c r="I218" s="13" t="s">
        <v>55</v>
      </c>
      <c r="J218" s="14">
        <f t="shared" ca="1" si="20"/>
        <v>36</v>
      </c>
      <c r="K218" s="4">
        <f t="shared" ca="1" si="17"/>
        <v>0</v>
      </c>
      <c r="L218" s="73">
        <f t="shared" ca="1" si="18"/>
        <v>36</v>
      </c>
      <c r="M218" s="6">
        <f t="shared" si="19"/>
        <v>1</v>
      </c>
      <c r="N218">
        <v>36</v>
      </c>
    </row>
    <row r="219" spans="1:15">
      <c r="A219" s="7"/>
      <c r="B219" s="13" t="s">
        <v>56</v>
      </c>
      <c r="C219" s="6">
        <v>15</v>
      </c>
      <c r="D219" s="5"/>
      <c r="E219" s="4"/>
      <c r="F219" s="11"/>
      <c r="I219" s="13" t="s">
        <v>56</v>
      </c>
      <c r="J219" s="14">
        <f t="shared" ca="1" si="20"/>
        <v>15</v>
      </c>
      <c r="K219" s="4">
        <f t="shared" ca="1" si="17"/>
        <v>3</v>
      </c>
      <c r="L219" s="73">
        <f t="shared" ca="1" si="18"/>
        <v>12</v>
      </c>
      <c r="M219" s="6">
        <f t="shared" si="19"/>
        <v>1</v>
      </c>
      <c r="N219">
        <v>15</v>
      </c>
    </row>
    <row r="220" spans="1:15" s="26" customFormat="1">
      <c r="A220" s="1"/>
      <c r="B220" s="13" t="s">
        <v>357</v>
      </c>
      <c r="C220" s="47">
        <v>64</v>
      </c>
      <c r="D220" s="5"/>
      <c r="E220" s="7"/>
      <c r="F220" s="11"/>
      <c r="G220" s="4"/>
      <c r="H220"/>
      <c r="I220" s="13" t="s">
        <v>357</v>
      </c>
      <c r="J220" s="14">
        <f t="shared" ca="1" si="20"/>
        <v>64</v>
      </c>
      <c r="K220" s="4">
        <f t="shared" ca="1" si="17"/>
        <v>0</v>
      </c>
      <c r="L220" s="73">
        <f t="shared" ca="1" si="18"/>
        <v>64</v>
      </c>
      <c r="M220" s="6">
        <f t="shared" si="19"/>
        <v>1</v>
      </c>
      <c r="N220" s="26">
        <v>64</v>
      </c>
      <c r="O220" s="6"/>
    </row>
    <row r="221" spans="1:15">
      <c r="B221" s="13" t="s">
        <v>685</v>
      </c>
      <c r="C221" s="6">
        <v>0</v>
      </c>
      <c r="D221" s="5"/>
      <c r="E221" s="31"/>
      <c r="F221" s="11"/>
      <c r="I221" s="13" t="s">
        <v>685</v>
      </c>
      <c r="J221" s="14">
        <f t="shared" ca="1" si="20"/>
        <v>0</v>
      </c>
      <c r="K221" s="4">
        <f t="shared" ca="1" si="17"/>
        <v>0</v>
      </c>
      <c r="L221" s="73">
        <f t="shared" ca="1" si="18"/>
        <v>0</v>
      </c>
      <c r="M221" s="6">
        <f t="shared" si="19"/>
        <v>1</v>
      </c>
      <c r="N221">
        <v>0</v>
      </c>
    </row>
    <row r="222" spans="1:15" s="26" customFormat="1">
      <c r="A222" s="1"/>
      <c r="B222" s="13" t="s">
        <v>358</v>
      </c>
      <c r="C222" s="47">
        <v>13</v>
      </c>
      <c r="D222" s="5"/>
      <c r="E222" s="1"/>
      <c r="F222" s="14"/>
      <c r="G222" s="4"/>
      <c r="H222"/>
      <c r="I222" s="13" t="s">
        <v>358</v>
      </c>
      <c r="J222" s="14">
        <f t="shared" ca="1" si="20"/>
        <v>13</v>
      </c>
      <c r="K222" s="4">
        <f t="shared" ca="1" si="17"/>
        <v>0</v>
      </c>
      <c r="L222" s="73">
        <f t="shared" ca="1" si="18"/>
        <v>13</v>
      </c>
      <c r="M222" s="6">
        <f t="shared" si="19"/>
        <v>1</v>
      </c>
      <c r="N222" s="26">
        <v>13</v>
      </c>
      <c r="O222" s="6"/>
    </row>
    <row r="223" spans="1:15">
      <c r="B223" s="13" t="s">
        <v>686</v>
      </c>
      <c r="C223" s="6">
        <v>0</v>
      </c>
      <c r="D223" s="5"/>
      <c r="E223" s="7"/>
      <c r="F223" s="36"/>
      <c r="I223" s="13" t="s">
        <v>686</v>
      </c>
      <c r="J223" s="14">
        <f t="shared" ca="1" si="20"/>
        <v>0</v>
      </c>
      <c r="K223" s="4">
        <f t="shared" ca="1" si="17"/>
        <v>0</v>
      </c>
      <c r="L223" s="73">
        <f t="shared" ca="1" si="18"/>
        <v>0</v>
      </c>
      <c r="M223" s="6">
        <f t="shared" si="19"/>
        <v>1</v>
      </c>
      <c r="N223">
        <v>0</v>
      </c>
    </row>
    <row r="224" spans="1:15" s="26" customFormat="1">
      <c r="A224" s="1"/>
      <c r="B224" s="13" t="s">
        <v>359</v>
      </c>
      <c r="C224" s="47">
        <v>2</v>
      </c>
      <c r="D224" s="5"/>
      <c r="E224" s="12"/>
      <c r="F224" s="84"/>
      <c r="G224" s="4"/>
      <c r="H224"/>
      <c r="I224" s="13" t="s">
        <v>359</v>
      </c>
      <c r="J224" s="14">
        <f t="shared" ca="1" si="20"/>
        <v>2</v>
      </c>
      <c r="K224" s="4">
        <f t="shared" ca="1" si="17"/>
        <v>1</v>
      </c>
      <c r="L224" s="73">
        <f t="shared" ca="1" si="18"/>
        <v>1</v>
      </c>
      <c r="M224" s="6">
        <f t="shared" si="19"/>
        <v>1</v>
      </c>
      <c r="N224" s="26">
        <v>12</v>
      </c>
      <c r="O224" s="6"/>
    </row>
    <row r="225" spans="2:14">
      <c r="B225" s="13" t="s">
        <v>687</v>
      </c>
      <c r="C225" s="6">
        <v>0</v>
      </c>
      <c r="D225" s="5"/>
      <c r="E225" s="12"/>
      <c r="F225" s="11"/>
      <c r="I225" s="13" t="s">
        <v>687</v>
      </c>
      <c r="J225" s="14">
        <f t="shared" ca="1" si="20"/>
        <v>0</v>
      </c>
      <c r="K225" s="4">
        <f t="shared" ca="1" si="17"/>
        <v>0</v>
      </c>
      <c r="L225" s="73">
        <f t="shared" ca="1" si="18"/>
        <v>0</v>
      </c>
      <c r="M225" s="6">
        <f t="shared" si="19"/>
        <v>1</v>
      </c>
      <c r="N225">
        <v>0</v>
      </c>
    </row>
    <row r="226" spans="2:14">
      <c r="B226" s="13" t="s">
        <v>360</v>
      </c>
      <c r="C226" s="6">
        <v>1</v>
      </c>
      <c r="D226" s="5"/>
      <c r="F226" s="14"/>
      <c r="I226" s="13" t="s">
        <v>360</v>
      </c>
      <c r="J226" s="14">
        <f t="shared" ca="1" si="20"/>
        <v>1</v>
      </c>
      <c r="K226" s="4">
        <f t="shared" ca="1" si="17"/>
        <v>0</v>
      </c>
      <c r="L226" s="73">
        <f t="shared" ca="1" si="18"/>
        <v>1</v>
      </c>
      <c r="M226" s="6">
        <f t="shared" si="19"/>
        <v>1</v>
      </c>
      <c r="N226">
        <v>1</v>
      </c>
    </row>
    <row r="227" spans="2:14">
      <c r="B227" s="13" t="s">
        <v>361</v>
      </c>
      <c r="C227" s="6">
        <v>0</v>
      </c>
      <c r="D227" s="5"/>
      <c r="F227" s="11"/>
      <c r="I227" s="13" t="s">
        <v>361</v>
      </c>
      <c r="J227" s="14">
        <f t="shared" ca="1" si="20"/>
        <v>0</v>
      </c>
      <c r="K227" s="4">
        <f t="shared" ca="1" si="17"/>
        <v>0</v>
      </c>
      <c r="L227" s="73">
        <f t="shared" ca="1" si="18"/>
        <v>0</v>
      </c>
      <c r="M227" s="6">
        <f t="shared" si="19"/>
        <v>1</v>
      </c>
      <c r="N227">
        <v>0</v>
      </c>
    </row>
    <row r="228" spans="2:14">
      <c r="B228" s="13" t="s">
        <v>362</v>
      </c>
      <c r="C228" s="6">
        <v>10</v>
      </c>
      <c r="D228" s="5"/>
      <c r="E228" s="35"/>
      <c r="I228" s="13" t="s">
        <v>362</v>
      </c>
      <c r="J228" s="14">
        <f t="shared" ca="1" si="20"/>
        <v>10</v>
      </c>
      <c r="K228" s="4">
        <f t="shared" ca="1" si="17"/>
        <v>0</v>
      </c>
      <c r="L228" s="73">
        <f t="shared" ca="1" si="18"/>
        <v>10</v>
      </c>
      <c r="M228" s="6">
        <f t="shared" si="19"/>
        <v>1</v>
      </c>
      <c r="N228">
        <v>10</v>
      </c>
    </row>
    <row r="229" spans="2:14">
      <c r="B229" s="13" t="s">
        <v>363</v>
      </c>
      <c r="C229" s="6">
        <v>10</v>
      </c>
      <c r="D229" s="5"/>
      <c r="E229" s="35"/>
      <c r="I229" s="13" t="s">
        <v>363</v>
      </c>
      <c r="J229" s="14">
        <f t="shared" ca="1" si="20"/>
        <v>10</v>
      </c>
      <c r="K229" s="4">
        <f t="shared" ca="1" si="17"/>
        <v>0</v>
      </c>
      <c r="L229" s="73">
        <f t="shared" ca="1" si="18"/>
        <v>10</v>
      </c>
      <c r="M229" s="6">
        <f t="shared" si="19"/>
        <v>1</v>
      </c>
      <c r="N229">
        <v>10</v>
      </c>
    </row>
    <row r="230" spans="2:14">
      <c r="B230" s="13" t="s">
        <v>364</v>
      </c>
      <c r="C230" s="6">
        <v>0</v>
      </c>
      <c r="D230" s="5"/>
      <c r="E230" s="35"/>
      <c r="F230" s="14"/>
      <c r="I230" s="13" t="s">
        <v>364</v>
      </c>
      <c r="J230" s="14">
        <f t="shared" ca="1" si="20"/>
        <v>0</v>
      </c>
      <c r="K230" s="4">
        <f t="shared" ca="1" si="17"/>
        <v>0</v>
      </c>
      <c r="L230" s="73">
        <f t="shared" ca="1" si="18"/>
        <v>0</v>
      </c>
      <c r="M230" s="6">
        <f t="shared" si="19"/>
        <v>1</v>
      </c>
      <c r="N230">
        <v>0</v>
      </c>
    </row>
    <row r="231" spans="2:14">
      <c r="B231" s="72" t="s">
        <v>127</v>
      </c>
      <c r="C231" s="6">
        <v>0</v>
      </c>
      <c r="D231" s="5"/>
      <c r="E231" s="7"/>
      <c r="I231" s="72" t="s">
        <v>127</v>
      </c>
      <c r="J231" s="14">
        <f t="shared" ca="1" si="20"/>
        <v>0</v>
      </c>
      <c r="K231" s="4">
        <f t="shared" ca="1" si="17"/>
        <v>0</v>
      </c>
      <c r="L231" s="73">
        <f t="shared" ca="1" si="18"/>
        <v>0</v>
      </c>
      <c r="M231" s="6">
        <f t="shared" si="19"/>
        <v>1</v>
      </c>
      <c r="N231">
        <v>0</v>
      </c>
    </row>
    <row r="232" spans="2:14">
      <c r="B232" s="72" t="s">
        <v>128</v>
      </c>
      <c r="C232" s="6">
        <v>1</v>
      </c>
      <c r="D232" s="5"/>
      <c r="E232" s="35"/>
      <c r="F232" s="11"/>
      <c r="I232" s="72" t="s">
        <v>128</v>
      </c>
      <c r="J232" s="14">
        <f t="shared" ca="1" si="20"/>
        <v>1</v>
      </c>
      <c r="K232" s="4">
        <f t="shared" ca="1" si="17"/>
        <v>0</v>
      </c>
      <c r="L232" s="73">
        <f t="shared" ca="1" si="18"/>
        <v>1</v>
      </c>
      <c r="M232" s="6">
        <f t="shared" si="19"/>
        <v>1</v>
      </c>
      <c r="N232">
        <v>1</v>
      </c>
    </row>
    <row r="233" spans="2:14">
      <c r="B233" s="72" t="s">
        <v>129</v>
      </c>
      <c r="C233" s="6">
        <v>0</v>
      </c>
      <c r="D233" s="5"/>
      <c r="F233" s="14"/>
      <c r="I233" s="72" t="s">
        <v>129</v>
      </c>
      <c r="J233" s="14">
        <f t="shared" ca="1" si="20"/>
        <v>0</v>
      </c>
      <c r="K233" s="4">
        <f t="shared" ca="1" si="17"/>
        <v>0</v>
      </c>
      <c r="L233" s="73">
        <f t="shared" ca="1" si="18"/>
        <v>0</v>
      </c>
      <c r="M233" s="6">
        <f t="shared" si="19"/>
        <v>1</v>
      </c>
      <c r="N233">
        <v>0</v>
      </c>
    </row>
    <row r="234" spans="2:14">
      <c r="B234" s="72" t="s">
        <v>365</v>
      </c>
      <c r="C234" s="6">
        <v>0</v>
      </c>
      <c r="D234" s="5"/>
      <c r="E234" s="90"/>
      <c r="F234" s="11"/>
      <c r="I234" s="72" t="s">
        <v>365</v>
      </c>
      <c r="J234" s="14">
        <f t="shared" ca="1" si="20"/>
        <v>0</v>
      </c>
      <c r="K234" s="4">
        <f t="shared" ca="1" si="17"/>
        <v>0</v>
      </c>
      <c r="L234" s="73">
        <f t="shared" ca="1" si="18"/>
        <v>0</v>
      </c>
      <c r="M234" s="6">
        <f t="shared" si="19"/>
        <v>1</v>
      </c>
      <c r="N234">
        <v>0</v>
      </c>
    </row>
    <row r="235" spans="2:14">
      <c r="B235" s="72" t="s">
        <v>130</v>
      </c>
      <c r="C235" s="6">
        <v>0</v>
      </c>
      <c r="D235" s="5"/>
      <c r="E235" s="85"/>
      <c r="F235" s="11"/>
      <c r="I235" s="72" t="s">
        <v>130</v>
      </c>
      <c r="J235" s="14">
        <f t="shared" ca="1" si="20"/>
        <v>0</v>
      </c>
      <c r="K235" s="4">
        <f t="shared" ca="1" si="17"/>
        <v>0</v>
      </c>
      <c r="L235" s="73">
        <f t="shared" ca="1" si="18"/>
        <v>0</v>
      </c>
      <c r="M235" s="6">
        <f t="shared" si="19"/>
        <v>1</v>
      </c>
      <c r="N235">
        <v>0</v>
      </c>
    </row>
    <row r="236" spans="2:14">
      <c r="B236" s="72" t="s">
        <v>131</v>
      </c>
      <c r="C236" s="6">
        <v>0</v>
      </c>
      <c r="D236" s="5"/>
      <c r="E236" s="85"/>
      <c r="F236" s="11"/>
      <c r="I236" s="72" t="s">
        <v>131</v>
      </c>
      <c r="J236" s="14">
        <f t="shared" ca="1" si="20"/>
        <v>0</v>
      </c>
      <c r="K236" s="4">
        <f t="shared" ca="1" si="17"/>
        <v>0</v>
      </c>
      <c r="L236" s="73">
        <f t="shared" ca="1" si="18"/>
        <v>0</v>
      </c>
      <c r="M236" s="6">
        <f t="shared" si="19"/>
        <v>1</v>
      </c>
      <c r="N236">
        <v>0</v>
      </c>
    </row>
    <row r="237" spans="2:14">
      <c r="B237" s="72" t="s">
        <v>132</v>
      </c>
      <c r="C237" s="6">
        <v>0</v>
      </c>
      <c r="D237" s="5"/>
      <c r="E237" s="4"/>
      <c r="F237" s="11"/>
      <c r="I237" s="72" t="s">
        <v>132</v>
      </c>
      <c r="J237" s="14">
        <f t="shared" ca="1" si="20"/>
        <v>0</v>
      </c>
      <c r="K237" s="4">
        <f t="shared" ca="1" si="17"/>
        <v>0</v>
      </c>
      <c r="L237" s="73">
        <f t="shared" ca="1" si="18"/>
        <v>0</v>
      </c>
      <c r="M237" s="6">
        <f t="shared" si="19"/>
        <v>1</v>
      </c>
      <c r="N237">
        <v>0</v>
      </c>
    </row>
    <row r="238" spans="2:14">
      <c r="B238" s="72" t="s">
        <v>366</v>
      </c>
      <c r="C238" s="6">
        <v>0</v>
      </c>
      <c r="D238" s="5"/>
      <c r="E238" s="7"/>
      <c r="F238" s="11"/>
      <c r="I238" s="72" t="s">
        <v>366</v>
      </c>
      <c r="J238" s="14">
        <f t="shared" ca="1" si="20"/>
        <v>0</v>
      </c>
      <c r="K238" s="4">
        <f t="shared" ca="1" si="17"/>
        <v>0</v>
      </c>
      <c r="L238" s="73">
        <f t="shared" ca="1" si="18"/>
        <v>0</v>
      </c>
      <c r="M238" s="6">
        <f t="shared" si="19"/>
        <v>1</v>
      </c>
      <c r="N238">
        <v>0</v>
      </c>
    </row>
    <row r="239" spans="2:14">
      <c r="B239" s="72" t="s">
        <v>367</v>
      </c>
      <c r="C239" s="6">
        <v>0</v>
      </c>
      <c r="D239" s="5"/>
      <c r="E239" s="4"/>
      <c r="F239" s="84"/>
      <c r="I239" s="72" t="s">
        <v>367</v>
      </c>
      <c r="J239" s="14">
        <f t="shared" ca="1" si="20"/>
        <v>0</v>
      </c>
      <c r="K239" s="4">
        <f t="shared" ca="1" si="17"/>
        <v>0</v>
      </c>
      <c r="L239" s="73">
        <f t="shared" ca="1" si="18"/>
        <v>0</v>
      </c>
      <c r="M239" s="6">
        <f t="shared" si="19"/>
        <v>1</v>
      </c>
      <c r="N239">
        <v>0</v>
      </c>
    </row>
    <row r="240" spans="2:14">
      <c r="B240" s="72" t="s">
        <v>368</v>
      </c>
      <c r="C240" s="6">
        <v>0</v>
      </c>
      <c r="D240" s="5"/>
      <c r="I240" s="72" t="s">
        <v>368</v>
      </c>
      <c r="J240" s="14">
        <f t="shared" ca="1" si="20"/>
        <v>0</v>
      </c>
      <c r="K240" s="4">
        <f t="shared" ca="1" si="17"/>
        <v>0</v>
      </c>
      <c r="L240" s="73">
        <f t="shared" ca="1" si="18"/>
        <v>0</v>
      </c>
      <c r="M240" s="6">
        <f t="shared" si="19"/>
        <v>1</v>
      </c>
      <c r="N240">
        <v>0</v>
      </c>
    </row>
    <row r="241" spans="2:14">
      <c r="B241" s="72" t="s">
        <v>369</v>
      </c>
      <c r="C241" s="6">
        <v>0</v>
      </c>
      <c r="D241" s="5"/>
      <c r="F241" s="11"/>
      <c r="I241" s="72" t="s">
        <v>369</v>
      </c>
      <c r="J241" s="14">
        <f t="shared" ca="1" si="20"/>
        <v>0</v>
      </c>
      <c r="K241" s="4">
        <f t="shared" ca="1" si="17"/>
        <v>0</v>
      </c>
      <c r="L241" s="73">
        <f t="shared" ca="1" si="18"/>
        <v>0</v>
      </c>
      <c r="M241" s="6">
        <f t="shared" si="19"/>
        <v>1</v>
      </c>
      <c r="N241">
        <v>0</v>
      </c>
    </row>
    <row r="242" spans="2:14">
      <c r="B242" s="72" t="s">
        <v>370</v>
      </c>
      <c r="C242" s="6">
        <v>0</v>
      </c>
      <c r="D242" s="5"/>
      <c r="F242" s="11"/>
      <c r="I242" s="72" t="s">
        <v>370</v>
      </c>
      <c r="J242" s="14">
        <f t="shared" ca="1" si="20"/>
        <v>0</v>
      </c>
      <c r="K242" s="4">
        <f t="shared" ca="1" si="17"/>
        <v>0</v>
      </c>
      <c r="L242" s="73">
        <f t="shared" ca="1" si="18"/>
        <v>0</v>
      </c>
      <c r="M242" s="6">
        <f t="shared" si="19"/>
        <v>1</v>
      </c>
      <c r="N242">
        <v>0</v>
      </c>
    </row>
    <row r="243" spans="2:14">
      <c r="B243" s="13" t="s">
        <v>371</v>
      </c>
      <c r="C243" s="6">
        <v>0</v>
      </c>
      <c r="D243" s="5"/>
      <c r="F243" s="84"/>
      <c r="H243" s="79"/>
      <c r="I243" s="13" t="s">
        <v>371</v>
      </c>
      <c r="J243" s="14">
        <f t="shared" ca="1" si="20"/>
        <v>0</v>
      </c>
      <c r="K243" s="4">
        <f t="shared" ca="1" si="17"/>
        <v>0</v>
      </c>
      <c r="L243" s="73">
        <f t="shared" ca="1" si="18"/>
        <v>0</v>
      </c>
      <c r="M243" s="6">
        <f t="shared" si="19"/>
        <v>1</v>
      </c>
      <c r="N243">
        <v>0</v>
      </c>
    </row>
    <row r="244" spans="2:14">
      <c r="B244" s="13" t="s">
        <v>372</v>
      </c>
      <c r="C244" s="6">
        <v>6</v>
      </c>
      <c r="D244" s="5"/>
      <c r="F244" s="11"/>
      <c r="H244" s="79"/>
      <c r="I244" s="13" t="s">
        <v>372</v>
      </c>
      <c r="J244" s="14">
        <f t="shared" ca="1" si="20"/>
        <v>6</v>
      </c>
      <c r="K244" s="4">
        <f t="shared" ca="1" si="17"/>
        <v>2</v>
      </c>
      <c r="L244" s="73">
        <f t="shared" ca="1" si="18"/>
        <v>4</v>
      </c>
      <c r="M244" s="6">
        <f t="shared" si="19"/>
        <v>1</v>
      </c>
      <c r="N244">
        <v>6</v>
      </c>
    </row>
    <row r="245" spans="2:14">
      <c r="B245" s="13" t="s">
        <v>373</v>
      </c>
      <c r="C245" s="6">
        <v>0</v>
      </c>
      <c r="D245" s="5"/>
      <c r="H245" s="79"/>
      <c r="I245" s="13" t="s">
        <v>373</v>
      </c>
      <c r="J245" s="14">
        <f t="shared" ca="1" si="20"/>
        <v>0</v>
      </c>
      <c r="K245" s="4">
        <f t="shared" ca="1" si="17"/>
        <v>0</v>
      </c>
      <c r="L245" s="73">
        <f t="shared" ca="1" si="18"/>
        <v>0</v>
      </c>
      <c r="M245" s="6">
        <f t="shared" si="19"/>
        <v>1</v>
      </c>
      <c r="N245">
        <v>0</v>
      </c>
    </row>
    <row r="246" spans="2:14">
      <c r="B246" s="13" t="s">
        <v>374</v>
      </c>
      <c r="C246" s="6">
        <v>0</v>
      </c>
      <c r="D246" s="5"/>
      <c r="F246" s="14"/>
      <c r="H246" s="79"/>
      <c r="I246" s="13" t="s">
        <v>374</v>
      </c>
      <c r="J246" s="14">
        <f t="shared" ca="1" si="20"/>
        <v>0</v>
      </c>
      <c r="K246" s="4">
        <f t="shared" ca="1" si="17"/>
        <v>0</v>
      </c>
      <c r="L246" s="73">
        <f t="shared" ca="1" si="18"/>
        <v>0</v>
      </c>
      <c r="M246" s="6">
        <f t="shared" si="19"/>
        <v>1</v>
      </c>
      <c r="N246">
        <v>0</v>
      </c>
    </row>
    <row r="247" spans="2:14">
      <c r="B247" s="13" t="s">
        <v>375</v>
      </c>
      <c r="C247" s="6">
        <v>0</v>
      </c>
      <c r="D247" s="5"/>
      <c r="E247" s="7"/>
      <c r="F247" s="11"/>
      <c r="H247" s="79"/>
      <c r="I247" s="13" t="s">
        <v>375</v>
      </c>
      <c r="J247" s="14">
        <f t="shared" ca="1" si="20"/>
        <v>0</v>
      </c>
      <c r="K247" s="4">
        <f t="shared" ca="1" si="17"/>
        <v>0</v>
      </c>
      <c r="L247" s="73">
        <f t="shared" ca="1" si="18"/>
        <v>0</v>
      </c>
      <c r="M247" s="6">
        <f t="shared" si="19"/>
        <v>1</v>
      </c>
      <c r="N247">
        <v>0</v>
      </c>
    </row>
    <row r="248" spans="2:14">
      <c r="B248" s="13" t="s">
        <v>376</v>
      </c>
      <c r="C248" s="6">
        <v>0</v>
      </c>
      <c r="D248" s="5"/>
      <c r="E248" s="7"/>
      <c r="F248" s="11"/>
      <c r="H248" s="79"/>
      <c r="I248" s="13" t="s">
        <v>376</v>
      </c>
      <c r="J248" s="14">
        <f t="shared" ca="1" si="20"/>
        <v>0</v>
      </c>
      <c r="K248" s="4">
        <f t="shared" ca="1" si="17"/>
        <v>0</v>
      </c>
      <c r="L248" s="73">
        <f t="shared" ca="1" si="18"/>
        <v>0</v>
      </c>
      <c r="M248" s="6">
        <f t="shared" si="19"/>
        <v>1</v>
      </c>
      <c r="N248">
        <v>0</v>
      </c>
    </row>
    <row r="249" spans="2:14">
      <c r="B249" s="13" t="s">
        <v>377</v>
      </c>
      <c r="C249" s="6">
        <v>0</v>
      </c>
      <c r="D249" s="5"/>
      <c r="F249" s="14"/>
      <c r="H249" s="79"/>
      <c r="I249" s="13" t="s">
        <v>377</v>
      </c>
      <c r="J249" s="14">
        <f t="shared" ca="1" si="20"/>
        <v>0</v>
      </c>
      <c r="K249" s="4">
        <f t="shared" ca="1" si="17"/>
        <v>0</v>
      </c>
      <c r="L249" s="73">
        <f t="shared" ca="1" si="18"/>
        <v>0</v>
      </c>
      <c r="M249" s="6">
        <f t="shared" si="19"/>
        <v>1</v>
      </c>
      <c r="N249">
        <v>0</v>
      </c>
    </row>
    <row r="250" spans="2:14">
      <c r="B250" s="13" t="s">
        <v>378</v>
      </c>
      <c r="C250" s="6">
        <v>0</v>
      </c>
      <c r="D250" s="5"/>
      <c r="F250" s="11"/>
      <c r="H250" s="79"/>
      <c r="I250" s="13" t="s">
        <v>378</v>
      </c>
      <c r="J250" s="14">
        <f t="shared" ca="1" si="20"/>
        <v>0</v>
      </c>
      <c r="K250" s="4">
        <f t="shared" ca="1" si="17"/>
        <v>0</v>
      </c>
      <c r="L250" s="73">
        <f t="shared" ca="1" si="18"/>
        <v>0</v>
      </c>
      <c r="M250" s="6">
        <f t="shared" si="19"/>
        <v>1</v>
      </c>
      <c r="N250">
        <v>0</v>
      </c>
    </row>
    <row r="251" spans="2:14">
      <c r="B251" s="13" t="s">
        <v>379</v>
      </c>
      <c r="C251" s="6">
        <v>0</v>
      </c>
      <c r="D251" s="5"/>
      <c r="E251" s="90"/>
      <c r="F251" s="11"/>
      <c r="H251" s="79"/>
      <c r="I251" s="13" t="s">
        <v>379</v>
      </c>
      <c r="J251" s="14">
        <f t="shared" ca="1" si="20"/>
        <v>0</v>
      </c>
      <c r="K251" s="4">
        <f t="shared" ca="1" si="17"/>
        <v>0</v>
      </c>
      <c r="L251" s="73">
        <f t="shared" ca="1" si="18"/>
        <v>0</v>
      </c>
      <c r="M251" s="6">
        <f t="shared" si="19"/>
        <v>1</v>
      </c>
      <c r="N251">
        <v>0</v>
      </c>
    </row>
    <row r="252" spans="2:14">
      <c r="B252" s="13" t="s">
        <v>380</v>
      </c>
      <c r="C252" s="6">
        <v>0</v>
      </c>
      <c r="D252" s="5"/>
      <c r="F252" s="11"/>
      <c r="H252" s="79"/>
      <c r="I252" s="13" t="s">
        <v>380</v>
      </c>
      <c r="J252" s="14">
        <f t="shared" ca="1" si="20"/>
        <v>0</v>
      </c>
      <c r="K252" s="4">
        <f t="shared" ca="1" si="17"/>
        <v>0</v>
      </c>
      <c r="L252" s="73">
        <f t="shared" ca="1" si="18"/>
        <v>0</v>
      </c>
      <c r="M252" s="6">
        <f t="shared" si="19"/>
        <v>1</v>
      </c>
      <c r="N252">
        <v>0</v>
      </c>
    </row>
    <row r="253" spans="2:14">
      <c r="B253" s="13" t="s">
        <v>381</v>
      </c>
      <c r="C253" s="6">
        <v>0</v>
      </c>
      <c r="D253" s="5"/>
      <c r="F253" s="84"/>
      <c r="H253" s="79"/>
      <c r="I253" s="13" t="s">
        <v>381</v>
      </c>
      <c r="J253" s="14">
        <f t="shared" ca="1" si="20"/>
        <v>0</v>
      </c>
      <c r="K253" s="4">
        <f t="shared" ca="1" si="17"/>
        <v>0</v>
      </c>
      <c r="L253" s="73">
        <f t="shared" ca="1" si="18"/>
        <v>0</v>
      </c>
      <c r="M253" s="6">
        <f t="shared" si="19"/>
        <v>1</v>
      </c>
      <c r="N253">
        <v>0</v>
      </c>
    </row>
    <row r="254" spans="2:14">
      <c r="B254" s="13" t="s">
        <v>382</v>
      </c>
      <c r="C254" s="6">
        <v>0</v>
      </c>
      <c r="D254" s="5"/>
      <c r="F254" s="11"/>
      <c r="I254" s="13" t="s">
        <v>382</v>
      </c>
      <c r="J254" s="14">
        <f t="shared" ca="1" si="20"/>
        <v>0</v>
      </c>
      <c r="K254" s="4">
        <f t="shared" ca="1" si="17"/>
        <v>0</v>
      </c>
      <c r="L254" s="73">
        <f t="shared" ca="1" si="18"/>
        <v>0</v>
      </c>
      <c r="M254" s="6">
        <f t="shared" si="19"/>
        <v>1</v>
      </c>
      <c r="N254">
        <v>0</v>
      </c>
    </row>
    <row r="255" spans="2:14">
      <c r="B255" s="13" t="s">
        <v>383</v>
      </c>
      <c r="C255" s="6">
        <v>0</v>
      </c>
      <c r="D255" s="5"/>
      <c r="F255" s="11"/>
      <c r="I255" s="13" t="s">
        <v>383</v>
      </c>
      <c r="J255" s="14">
        <f t="shared" ca="1" si="20"/>
        <v>0</v>
      </c>
      <c r="K255" s="4">
        <f t="shared" ca="1" si="17"/>
        <v>0</v>
      </c>
      <c r="L255" s="73">
        <f t="shared" ca="1" si="18"/>
        <v>0</v>
      </c>
      <c r="M255" s="6">
        <f t="shared" si="19"/>
        <v>1</v>
      </c>
      <c r="N255">
        <v>-1</v>
      </c>
    </row>
    <row r="256" spans="2:14">
      <c r="B256" s="13" t="s">
        <v>384</v>
      </c>
      <c r="C256" s="6">
        <v>0</v>
      </c>
      <c r="D256" s="5"/>
      <c r="F256" s="18"/>
      <c r="I256" s="13" t="s">
        <v>384</v>
      </c>
      <c r="J256" s="14">
        <f t="shared" ca="1" si="20"/>
        <v>0</v>
      </c>
      <c r="K256" s="4">
        <f t="shared" ca="1" si="17"/>
        <v>0</v>
      </c>
      <c r="L256" s="73">
        <f t="shared" ca="1" si="18"/>
        <v>0</v>
      </c>
      <c r="M256" s="6">
        <f t="shared" si="19"/>
        <v>1</v>
      </c>
      <c r="N256">
        <v>0</v>
      </c>
    </row>
    <row r="257" spans="1:14">
      <c r="B257" s="13" t="s">
        <v>385</v>
      </c>
      <c r="C257" s="6">
        <v>0</v>
      </c>
      <c r="D257" s="5"/>
      <c r="F257" s="11"/>
      <c r="I257" s="13" t="s">
        <v>385</v>
      </c>
      <c r="J257" s="14">
        <f t="shared" ca="1" si="20"/>
        <v>0</v>
      </c>
      <c r="K257" s="4">
        <f t="shared" ca="1" si="17"/>
        <v>0</v>
      </c>
      <c r="L257" s="73">
        <f t="shared" ca="1" si="18"/>
        <v>0</v>
      </c>
      <c r="M257" s="6">
        <f t="shared" si="19"/>
        <v>1</v>
      </c>
      <c r="N257">
        <v>0</v>
      </c>
    </row>
    <row r="258" spans="1:14">
      <c r="B258" s="13" t="s">
        <v>386</v>
      </c>
      <c r="C258" s="6">
        <v>0</v>
      </c>
      <c r="D258" s="5"/>
      <c r="E258" s="7"/>
      <c r="F258" s="11"/>
      <c r="I258" s="13" t="s">
        <v>386</v>
      </c>
      <c r="J258" s="14">
        <f t="shared" ca="1" si="20"/>
        <v>0</v>
      </c>
      <c r="K258" s="4">
        <f t="shared" ref="K258:K321" ca="1" si="21">SUMIF(F:G,I258,G:G)</f>
        <v>0</v>
      </c>
      <c r="L258" s="73">
        <f t="shared" ref="L258:L312" ca="1" si="22">J258-K258</f>
        <v>0</v>
      </c>
      <c r="M258" s="6">
        <f t="shared" si="19"/>
        <v>1</v>
      </c>
      <c r="N258">
        <v>0</v>
      </c>
    </row>
    <row r="259" spans="1:14">
      <c r="B259" s="13" t="s">
        <v>387</v>
      </c>
      <c r="C259" s="6">
        <v>0</v>
      </c>
      <c r="D259" s="5"/>
      <c r="I259" s="13" t="s">
        <v>387</v>
      </c>
      <c r="J259" s="14">
        <f t="shared" ca="1" si="20"/>
        <v>0</v>
      </c>
      <c r="K259" s="4">
        <f t="shared" ca="1" si="21"/>
        <v>0</v>
      </c>
      <c r="L259" s="73">
        <f t="shared" ca="1" si="22"/>
        <v>0</v>
      </c>
      <c r="M259" s="6">
        <f t="shared" si="19"/>
        <v>1</v>
      </c>
      <c r="N259">
        <v>0</v>
      </c>
    </row>
    <row r="260" spans="1:14">
      <c r="B260" s="13" t="s">
        <v>388</v>
      </c>
      <c r="C260" s="6">
        <v>0</v>
      </c>
      <c r="D260" s="5"/>
      <c r="F260" s="11"/>
      <c r="I260" s="13" t="s">
        <v>388</v>
      </c>
      <c r="J260" s="14">
        <f t="shared" ca="1" si="20"/>
        <v>0</v>
      </c>
      <c r="K260" s="4">
        <f t="shared" ca="1" si="21"/>
        <v>0</v>
      </c>
      <c r="L260" s="73">
        <f t="shared" ca="1" si="22"/>
        <v>0</v>
      </c>
      <c r="M260" s="6">
        <f t="shared" si="19"/>
        <v>1</v>
      </c>
      <c r="N260">
        <v>0</v>
      </c>
    </row>
    <row r="261" spans="1:14">
      <c r="B261" s="13" t="s">
        <v>389</v>
      </c>
      <c r="C261" s="6">
        <v>0</v>
      </c>
      <c r="D261" s="5"/>
      <c r="F261" s="11"/>
      <c r="I261" s="13" t="s">
        <v>389</v>
      </c>
      <c r="J261" s="14">
        <f t="shared" ca="1" si="20"/>
        <v>0</v>
      </c>
      <c r="K261" s="4">
        <f t="shared" ca="1" si="21"/>
        <v>0</v>
      </c>
      <c r="L261" s="73">
        <f t="shared" ca="1" si="22"/>
        <v>0</v>
      </c>
      <c r="M261" s="6">
        <f t="shared" ref="M261:M324" si="23">MATCH(I261,B261,0)</f>
        <v>1</v>
      </c>
      <c r="N261">
        <v>0</v>
      </c>
    </row>
    <row r="262" spans="1:14">
      <c r="A262" s="7"/>
      <c r="B262" s="72" t="s">
        <v>133</v>
      </c>
      <c r="C262" s="6">
        <v>0</v>
      </c>
      <c r="D262" s="5"/>
      <c r="F262" s="84"/>
      <c r="I262" s="72" t="s">
        <v>133</v>
      </c>
      <c r="J262" s="14">
        <f t="shared" ca="1" si="20"/>
        <v>0</v>
      </c>
      <c r="K262" s="4">
        <f t="shared" ca="1" si="21"/>
        <v>0</v>
      </c>
      <c r="L262" s="73">
        <f t="shared" ca="1" si="22"/>
        <v>0</v>
      </c>
      <c r="M262" s="6">
        <f t="shared" si="23"/>
        <v>1</v>
      </c>
      <c r="N262">
        <v>0</v>
      </c>
    </row>
    <row r="263" spans="1:14">
      <c r="B263" s="72" t="s">
        <v>134</v>
      </c>
      <c r="C263" s="6">
        <v>1</v>
      </c>
      <c r="D263" s="5"/>
      <c r="E263" s="7"/>
      <c r="F263" s="36"/>
      <c r="I263" s="72" t="s">
        <v>134</v>
      </c>
      <c r="J263" s="14">
        <f t="shared" ca="1" si="20"/>
        <v>1</v>
      </c>
      <c r="K263" s="4">
        <f t="shared" ca="1" si="21"/>
        <v>0</v>
      </c>
      <c r="L263" s="73">
        <f t="shared" ca="1" si="22"/>
        <v>1</v>
      </c>
      <c r="M263" s="6">
        <f t="shared" si="23"/>
        <v>1</v>
      </c>
      <c r="N263">
        <v>1</v>
      </c>
    </row>
    <row r="264" spans="1:14">
      <c r="B264" s="72" t="s">
        <v>699</v>
      </c>
      <c r="C264" s="6">
        <v>2</v>
      </c>
      <c r="D264" s="5"/>
      <c r="I264" s="72" t="s">
        <v>699</v>
      </c>
      <c r="J264" s="14">
        <f t="shared" ca="1" si="20"/>
        <v>2</v>
      </c>
      <c r="K264" s="4">
        <f t="shared" ca="1" si="21"/>
        <v>0</v>
      </c>
      <c r="L264" s="73">
        <f t="shared" ca="1" si="22"/>
        <v>2</v>
      </c>
      <c r="M264" s="6">
        <f t="shared" si="23"/>
        <v>1</v>
      </c>
      <c r="N264">
        <v>2</v>
      </c>
    </row>
    <row r="265" spans="1:14">
      <c r="B265" s="72" t="s">
        <v>135</v>
      </c>
      <c r="C265" s="6">
        <v>0</v>
      </c>
      <c r="D265" s="5"/>
      <c r="F265" s="14"/>
      <c r="I265" s="72" t="s">
        <v>135</v>
      </c>
      <c r="J265" s="14">
        <f t="shared" ca="1" si="20"/>
        <v>0</v>
      </c>
      <c r="K265" s="4">
        <f t="shared" ca="1" si="21"/>
        <v>0</v>
      </c>
      <c r="L265" s="73">
        <f t="shared" ca="1" si="22"/>
        <v>0</v>
      </c>
      <c r="M265" s="6">
        <f t="shared" si="23"/>
        <v>1</v>
      </c>
      <c r="N265">
        <v>0</v>
      </c>
    </row>
    <row r="266" spans="1:14">
      <c r="B266" s="72" t="s">
        <v>136</v>
      </c>
      <c r="C266" s="6">
        <v>0</v>
      </c>
      <c r="D266" s="5"/>
      <c r="F266" s="14"/>
      <c r="I266" s="72" t="s">
        <v>136</v>
      </c>
      <c r="J266" s="14">
        <f t="shared" ca="1" si="20"/>
        <v>0</v>
      </c>
      <c r="K266" s="4">
        <f t="shared" ca="1" si="21"/>
        <v>0</v>
      </c>
      <c r="L266" s="73">
        <f t="shared" ca="1" si="22"/>
        <v>0</v>
      </c>
      <c r="M266" s="6">
        <f t="shared" si="23"/>
        <v>1</v>
      </c>
      <c r="N266">
        <v>0</v>
      </c>
    </row>
    <row r="267" spans="1:14">
      <c r="B267" s="72" t="s">
        <v>137</v>
      </c>
      <c r="C267" s="6">
        <v>0</v>
      </c>
      <c r="D267" s="5"/>
      <c r="F267" s="14"/>
      <c r="I267" s="72" t="s">
        <v>137</v>
      </c>
      <c r="J267" s="14">
        <f t="shared" ca="1" si="20"/>
        <v>0</v>
      </c>
      <c r="K267" s="4">
        <f t="shared" ca="1" si="21"/>
        <v>0</v>
      </c>
      <c r="L267" s="73">
        <f t="shared" ca="1" si="22"/>
        <v>0</v>
      </c>
      <c r="M267" s="6">
        <f t="shared" si="23"/>
        <v>1</v>
      </c>
      <c r="N267">
        <v>0</v>
      </c>
    </row>
    <row r="268" spans="1:14">
      <c r="B268" s="72" t="s">
        <v>138</v>
      </c>
      <c r="C268" s="6">
        <v>0</v>
      </c>
      <c r="D268" s="5"/>
      <c r="I268" s="72" t="s">
        <v>138</v>
      </c>
      <c r="J268" s="14">
        <f t="shared" ref="J268:J331" ca="1" si="24">SUMIF(B:C,I268,C:C)</f>
        <v>0</v>
      </c>
      <c r="K268" s="4">
        <f t="shared" ca="1" si="21"/>
        <v>0</v>
      </c>
      <c r="L268" s="73">
        <f t="shared" ca="1" si="22"/>
        <v>0</v>
      </c>
      <c r="M268" s="6">
        <f t="shared" si="23"/>
        <v>1</v>
      </c>
      <c r="N268">
        <v>1</v>
      </c>
    </row>
    <row r="269" spans="1:14">
      <c r="B269" s="72" t="s">
        <v>139</v>
      </c>
      <c r="C269" s="6">
        <v>0</v>
      </c>
      <c r="D269" s="5"/>
      <c r="E269" s="7"/>
      <c r="F269" s="14"/>
      <c r="I269" s="72" t="s">
        <v>139</v>
      </c>
      <c r="J269" s="14">
        <f t="shared" ca="1" si="24"/>
        <v>0</v>
      </c>
      <c r="K269" s="4">
        <f t="shared" ca="1" si="21"/>
        <v>0</v>
      </c>
      <c r="L269" s="73">
        <f t="shared" ca="1" si="22"/>
        <v>0</v>
      </c>
      <c r="M269" s="6">
        <f t="shared" si="23"/>
        <v>1</v>
      </c>
      <c r="N269">
        <v>0</v>
      </c>
    </row>
    <row r="270" spans="1:14">
      <c r="B270" s="72" t="s">
        <v>140</v>
      </c>
      <c r="C270" s="6">
        <v>0</v>
      </c>
      <c r="D270" s="5"/>
      <c r="F270" s="14"/>
      <c r="I270" s="72" t="s">
        <v>140</v>
      </c>
      <c r="J270" s="14">
        <f t="shared" ca="1" si="24"/>
        <v>0</v>
      </c>
      <c r="K270" s="4">
        <f t="shared" ca="1" si="21"/>
        <v>0</v>
      </c>
      <c r="L270" s="73">
        <f t="shared" ca="1" si="22"/>
        <v>0</v>
      </c>
      <c r="M270" s="6">
        <f t="shared" si="23"/>
        <v>1</v>
      </c>
      <c r="N270">
        <v>0</v>
      </c>
    </row>
    <row r="271" spans="1:14">
      <c r="B271" s="72" t="s">
        <v>141</v>
      </c>
      <c r="C271" s="6">
        <v>0</v>
      </c>
      <c r="D271" s="5"/>
      <c r="F271" s="14"/>
      <c r="I271" s="72" t="s">
        <v>141</v>
      </c>
      <c r="J271" s="14">
        <f t="shared" ca="1" si="24"/>
        <v>0</v>
      </c>
      <c r="K271" s="4">
        <f t="shared" ca="1" si="21"/>
        <v>0</v>
      </c>
      <c r="L271" s="73">
        <f t="shared" ca="1" si="22"/>
        <v>0</v>
      </c>
      <c r="M271" s="6">
        <f t="shared" si="23"/>
        <v>1</v>
      </c>
      <c r="N271">
        <v>0</v>
      </c>
    </row>
    <row r="272" spans="1:14">
      <c r="A272" s="4"/>
      <c r="B272" s="72" t="s">
        <v>142</v>
      </c>
      <c r="C272" s="6">
        <v>0</v>
      </c>
      <c r="D272" s="5"/>
      <c r="F272" s="18"/>
      <c r="I272" s="72" t="s">
        <v>142</v>
      </c>
      <c r="J272" s="14">
        <f t="shared" ca="1" si="24"/>
        <v>0</v>
      </c>
      <c r="K272" s="4">
        <f t="shared" ca="1" si="21"/>
        <v>0</v>
      </c>
      <c r="L272" s="73">
        <f t="shared" ca="1" si="22"/>
        <v>0</v>
      </c>
      <c r="M272" s="6">
        <f t="shared" si="23"/>
        <v>1</v>
      </c>
      <c r="N272">
        <v>7</v>
      </c>
    </row>
    <row r="273" spans="1:14">
      <c r="B273" s="72" t="s">
        <v>143</v>
      </c>
      <c r="C273" s="6">
        <v>0</v>
      </c>
      <c r="D273" s="5"/>
      <c r="F273" s="14"/>
      <c r="I273" s="72" t="s">
        <v>143</v>
      </c>
      <c r="J273" s="14">
        <f t="shared" ca="1" si="24"/>
        <v>0</v>
      </c>
      <c r="K273" s="4">
        <f t="shared" ca="1" si="21"/>
        <v>0</v>
      </c>
      <c r="L273" s="73">
        <f t="shared" ca="1" si="22"/>
        <v>0</v>
      </c>
      <c r="M273" s="6">
        <f t="shared" si="23"/>
        <v>1</v>
      </c>
      <c r="N273">
        <v>0</v>
      </c>
    </row>
    <row r="274" spans="1:14">
      <c r="A274" s="4"/>
      <c r="B274" s="72" t="s">
        <v>144</v>
      </c>
      <c r="C274" s="6">
        <v>0</v>
      </c>
      <c r="D274" s="5"/>
      <c r="F274" s="14"/>
      <c r="I274" s="72" t="s">
        <v>144</v>
      </c>
      <c r="J274" s="14">
        <f t="shared" ca="1" si="24"/>
        <v>0</v>
      </c>
      <c r="K274" s="4">
        <f t="shared" ca="1" si="21"/>
        <v>0</v>
      </c>
      <c r="L274" s="73">
        <f t="shared" ca="1" si="22"/>
        <v>0</v>
      </c>
      <c r="M274" s="6">
        <f t="shared" si="23"/>
        <v>1</v>
      </c>
      <c r="N274">
        <v>0</v>
      </c>
    </row>
    <row r="275" spans="1:14">
      <c r="B275" s="72" t="s">
        <v>145</v>
      </c>
      <c r="C275" s="6">
        <v>0</v>
      </c>
      <c r="D275" s="5"/>
      <c r="F275" s="14"/>
      <c r="I275" s="72" t="s">
        <v>145</v>
      </c>
      <c r="J275" s="14">
        <f t="shared" ca="1" si="24"/>
        <v>0</v>
      </c>
      <c r="K275" s="4">
        <f t="shared" ca="1" si="21"/>
        <v>0</v>
      </c>
      <c r="L275" s="73">
        <f t="shared" ca="1" si="22"/>
        <v>0</v>
      </c>
      <c r="M275" s="6">
        <f t="shared" si="23"/>
        <v>1</v>
      </c>
      <c r="N275">
        <v>0</v>
      </c>
    </row>
    <row r="276" spans="1:14">
      <c r="A276" s="4"/>
      <c r="B276" s="72" t="s">
        <v>146</v>
      </c>
      <c r="C276" s="6">
        <v>0</v>
      </c>
      <c r="D276" s="5"/>
      <c r="E276" s="7"/>
      <c r="F276" s="14"/>
      <c r="I276" s="72" t="s">
        <v>146</v>
      </c>
      <c r="J276" s="14">
        <f t="shared" ca="1" si="24"/>
        <v>0</v>
      </c>
      <c r="K276" s="4">
        <f t="shared" ca="1" si="21"/>
        <v>0</v>
      </c>
      <c r="L276" s="73">
        <f t="shared" ca="1" si="22"/>
        <v>0</v>
      </c>
      <c r="M276" s="6">
        <f t="shared" si="23"/>
        <v>1</v>
      </c>
      <c r="N276">
        <v>0</v>
      </c>
    </row>
    <row r="277" spans="1:14">
      <c r="B277" s="72" t="s">
        <v>390</v>
      </c>
      <c r="C277" s="6">
        <v>2</v>
      </c>
      <c r="D277" s="5"/>
      <c r="F277" s="14"/>
      <c r="I277" s="72" t="s">
        <v>390</v>
      </c>
      <c r="J277" s="14">
        <f t="shared" ca="1" si="24"/>
        <v>2</v>
      </c>
      <c r="K277" s="4">
        <f t="shared" ca="1" si="21"/>
        <v>0</v>
      </c>
      <c r="L277" s="73">
        <f t="shared" ca="1" si="22"/>
        <v>2</v>
      </c>
      <c r="M277" s="6">
        <f t="shared" si="23"/>
        <v>1</v>
      </c>
      <c r="N277">
        <v>2</v>
      </c>
    </row>
    <row r="278" spans="1:14">
      <c r="A278" s="4"/>
      <c r="B278" s="72" t="s">
        <v>391</v>
      </c>
      <c r="C278" s="6">
        <v>2</v>
      </c>
      <c r="D278" s="5"/>
      <c r="F278" s="14"/>
      <c r="I278" s="72" t="s">
        <v>391</v>
      </c>
      <c r="J278" s="14">
        <f t="shared" ca="1" si="24"/>
        <v>2</v>
      </c>
      <c r="K278" s="4">
        <f t="shared" ca="1" si="21"/>
        <v>0</v>
      </c>
      <c r="L278" s="73">
        <f t="shared" ca="1" si="22"/>
        <v>2</v>
      </c>
      <c r="M278" s="6">
        <f t="shared" si="23"/>
        <v>1</v>
      </c>
      <c r="N278">
        <v>2</v>
      </c>
    </row>
    <row r="279" spans="1:14">
      <c r="B279" s="72" t="s">
        <v>392</v>
      </c>
      <c r="C279" s="6">
        <v>0</v>
      </c>
      <c r="D279" s="5"/>
      <c r="F279" s="14"/>
      <c r="I279" s="72" t="s">
        <v>392</v>
      </c>
      <c r="J279" s="14">
        <f t="shared" ca="1" si="24"/>
        <v>0</v>
      </c>
      <c r="K279" s="4">
        <f t="shared" ca="1" si="21"/>
        <v>0</v>
      </c>
      <c r="L279" s="73">
        <f t="shared" ca="1" si="22"/>
        <v>0</v>
      </c>
      <c r="M279" s="6">
        <f t="shared" si="23"/>
        <v>1</v>
      </c>
      <c r="N279">
        <v>0</v>
      </c>
    </row>
    <row r="280" spans="1:14">
      <c r="A280" s="4"/>
      <c r="B280" s="4" t="s">
        <v>716</v>
      </c>
      <c r="C280" s="6">
        <v>0</v>
      </c>
      <c r="D280" s="5"/>
      <c r="F280" s="14"/>
      <c r="I280" s="4" t="s">
        <v>716</v>
      </c>
      <c r="J280" s="14">
        <f t="shared" ca="1" si="24"/>
        <v>0</v>
      </c>
      <c r="K280" s="4">
        <f t="shared" ca="1" si="21"/>
        <v>0</v>
      </c>
      <c r="L280" s="73">
        <f t="shared" ca="1" si="22"/>
        <v>0</v>
      </c>
      <c r="M280" s="6">
        <f t="shared" si="23"/>
        <v>1</v>
      </c>
      <c r="N280">
        <v>0</v>
      </c>
    </row>
    <row r="281" spans="1:14">
      <c r="B281" s="72" t="s">
        <v>393</v>
      </c>
      <c r="C281" s="6">
        <v>10</v>
      </c>
      <c r="D281" s="5"/>
      <c r="F281" s="14"/>
      <c r="I281" s="72" t="s">
        <v>393</v>
      </c>
      <c r="J281" s="14">
        <f t="shared" ca="1" si="24"/>
        <v>10</v>
      </c>
      <c r="K281" s="4">
        <f t="shared" ca="1" si="21"/>
        <v>0</v>
      </c>
      <c r="L281" s="73">
        <f t="shared" ca="1" si="22"/>
        <v>10</v>
      </c>
      <c r="M281" s="6">
        <f t="shared" si="23"/>
        <v>1</v>
      </c>
      <c r="N281">
        <v>10</v>
      </c>
    </row>
    <row r="282" spans="1:14">
      <c r="B282" s="72" t="s">
        <v>394</v>
      </c>
      <c r="C282" s="6">
        <v>0</v>
      </c>
      <c r="D282" s="5"/>
      <c r="F282" s="14"/>
      <c r="I282" s="72" t="s">
        <v>394</v>
      </c>
      <c r="J282" s="14">
        <f t="shared" ca="1" si="24"/>
        <v>0</v>
      </c>
      <c r="K282" s="4">
        <f t="shared" ca="1" si="21"/>
        <v>1</v>
      </c>
      <c r="L282" s="73">
        <f t="shared" ca="1" si="22"/>
        <v>-1</v>
      </c>
      <c r="M282" s="6">
        <f t="shared" si="23"/>
        <v>1</v>
      </c>
      <c r="N282">
        <v>0</v>
      </c>
    </row>
    <row r="283" spans="1:14">
      <c r="B283" s="72" t="s">
        <v>147</v>
      </c>
      <c r="C283" s="6">
        <v>16</v>
      </c>
      <c r="D283" s="5"/>
      <c r="E283" s="7"/>
      <c r="F283" s="14"/>
      <c r="I283" s="72" t="s">
        <v>147</v>
      </c>
      <c r="J283" s="14">
        <f t="shared" ca="1" si="24"/>
        <v>16</v>
      </c>
      <c r="K283" s="4">
        <f t="shared" ca="1" si="21"/>
        <v>0</v>
      </c>
      <c r="L283" s="73">
        <f t="shared" ca="1" si="22"/>
        <v>16</v>
      </c>
      <c r="M283" s="6">
        <f t="shared" si="23"/>
        <v>1</v>
      </c>
      <c r="N283">
        <v>16</v>
      </c>
    </row>
    <row r="284" spans="1:14">
      <c r="B284" s="72" t="s">
        <v>148</v>
      </c>
      <c r="C284" s="6">
        <v>5</v>
      </c>
      <c r="D284" s="5"/>
      <c r="E284" s="7"/>
      <c r="F284" s="18"/>
      <c r="I284" s="72" t="s">
        <v>148</v>
      </c>
      <c r="J284" s="14">
        <f t="shared" ca="1" si="24"/>
        <v>5</v>
      </c>
      <c r="K284" s="4">
        <f t="shared" ca="1" si="21"/>
        <v>0</v>
      </c>
      <c r="L284" s="73">
        <f t="shared" ca="1" si="22"/>
        <v>5</v>
      </c>
      <c r="M284" s="6">
        <f t="shared" si="23"/>
        <v>1</v>
      </c>
      <c r="N284">
        <v>5</v>
      </c>
    </row>
    <row r="285" spans="1:14">
      <c r="B285" s="72" t="s">
        <v>149</v>
      </c>
      <c r="C285" s="6">
        <v>0</v>
      </c>
      <c r="D285" s="5"/>
      <c r="F285" s="14"/>
      <c r="I285" s="72" t="s">
        <v>149</v>
      </c>
      <c r="J285" s="14">
        <f t="shared" ca="1" si="24"/>
        <v>0</v>
      </c>
      <c r="K285" s="4">
        <f t="shared" ca="1" si="21"/>
        <v>0</v>
      </c>
      <c r="L285" s="73">
        <f t="shared" ca="1" si="22"/>
        <v>0</v>
      </c>
      <c r="M285" s="6">
        <f t="shared" si="23"/>
        <v>1</v>
      </c>
      <c r="N285">
        <v>0</v>
      </c>
    </row>
    <row r="286" spans="1:14">
      <c r="A286" s="4"/>
      <c r="B286" s="72" t="s">
        <v>150</v>
      </c>
      <c r="C286" s="6">
        <v>0</v>
      </c>
      <c r="D286" s="5"/>
      <c r="F286" s="14"/>
      <c r="I286" s="72" t="s">
        <v>150</v>
      </c>
      <c r="J286" s="14">
        <f t="shared" ca="1" si="24"/>
        <v>0</v>
      </c>
      <c r="K286" s="4">
        <f t="shared" ca="1" si="21"/>
        <v>0</v>
      </c>
      <c r="L286" s="73">
        <f t="shared" ca="1" si="22"/>
        <v>0</v>
      </c>
      <c r="M286" s="6">
        <f t="shared" si="23"/>
        <v>1</v>
      </c>
      <c r="N286">
        <v>-0.5</v>
      </c>
    </row>
    <row r="287" spans="1:14">
      <c r="B287" s="72" t="s">
        <v>151</v>
      </c>
      <c r="C287" s="6">
        <v>1</v>
      </c>
      <c r="D287" s="5"/>
      <c r="F287" s="14"/>
      <c r="I287" s="72" t="s">
        <v>151</v>
      </c>
      <c r="J287" s="14">
        <f t="shared" ca="1" si="24"/>
        <v>1</v>
      </c>
      <c r="K287" s="4">
        <f t="shared" ca="1" si="21"/>
        <v>0</v>
      </c>
      <c r="L287" s="73">
        <f t="shared" ca="1" si="22"/>
        <v>1</v>
      </c>
      <c r="M287" s="6">
        <f t="shared" si="23"/>
        <v>1</v>
      </c>
      <c r="N287">
        <v>1</v>
      </c>
    </row>
    <row r="288" spans="1:14">
      <c r="A288" s="4"/>
      <c r="B288" s="72" t="s">
        <v>152</v>
      </c>
      <c r="C288" s="6">
        <v>1</v>
      </c>
      <c r="D288" s="5"/>
      <c r="F288" s="14"/>
      <c r="I288" s="72" t="s">
        <v>152</v>
      </c>
      <c r="J288" s="14">
        <f t="shared" ca="1" si="24"/>
        <v>1</v>
      </c>
      <c r="K288" s="4">
        <f t="shared" ca="1" si="21"/>
        <v>0</v>
      </c>
      <c r="L288" s="73">
        <f t="shared" ca="1" si="22"/>
        <v>1</v>
      </c>
      <c r="M288" s="6">
        <f t="shared" si="23"/>
        <v>1</v>
      </c>
      <c r="N288">
        <v>1</v>
      </c>
    </row>
    <row r="289" spans="1:14">
      <c r="B289" s="72" t="s">
        <v>153</v>
      </c>
      <c r="C289" s="6">
        <v>0</v>
      </c>
      <c r="D289" s="5"/>
      <c r="E289" s="7"/>
      <c r="F289" s="14"/>
      <c r="I289" s="72" t="s">
        <v>153</v>
      </c>
      <c r="J289" s="14">
        <f t="shared" ca="1" si="24"/>
        <v>0</v>
      </c>
      <c r="K289" s="4">
        <f t="shared" ca="1" si="21"/>
        <v>0</v>
      </c>
      <c r="L289" s="73">
        <f t="shared" ca="1" si="22"/>
        <v>0</v>
      </c>
      <c r="M289" s="6">
        <f t="shared" si="23"/>
        <v>1</v>
      </c>
      <c r="N289">
        <v>0</v>
      </c>
    </row>
    <row r="290" spans="1:14">
      <c r="A290" s="4"/>
      <c r="B290" s="72" t="s">
        <v>154</v>
      </c>
      <c r="C290" s="6">
        <v>0</v>
      </c>
      <c r="D290" s="5"/>
      <c r="E290" s="7"/>
      <c r="F290" s="38"/>
      <c r="I290" s="72" t="s">
        <v>154</v>
      </c>
      <c r="J290" s="14">
        <f t="shared" ca="1" si="24"/>
        <v>0</v>
      </c>
      <c r="K290" s="4">
        <f t="shared" ca="1" si="21"/>
        <v>0</v>
      </c>
      <c r="L290" s="73">
        <f t="shared" ca="1" si="22"/>
        <v>0</v>
      </c>
      <c r="M290" s="6">
        <f t="shared" si="23"/>
        <v>1</v>
      </c>
      <c r="N290">
        <v>0</v>
      </c>
    </row>
    <row r="291" spans="1:14">
      <c r="B291" s="72" t="s">
        <v>155</v>
      </c>
      <c r="C291" s="6">
        <v>0</v>
      </c>
      <c r="D291" s="5"/>
      <c r="I291" s="72" t="s">
        <v>155</v>
      </c>
      <c r="J291" s="14">
        <f t="shared" ca="1" si="24"/>
        <v>0</v>
      </c>
      <c r="K291" s="4">
        <f t="shared" ca="1" si="21"/>
        <v>0</v>
      </c>
      <c r="L291" s="73">
        <f t="shared" ca="1" si="22"/>
        <v>0</v>
      </c>
      <c r="M291" s="6">
        <f t="shared" si="23"/>
        <v>1</v>
      </c>
      <c r="N291">
        <v>0</v>
      </c>
    </row>
    <row r="292" spans="1:14">
      <c r="A292" s="4"/>
      <c r="B292" s="72" t="s">
        <v>156</v>
      </c>
      <c r="C292" s="6">
        <v>0</v>
      </c>
      <c r="D292" s="5"/>
      <c r="F292" s="12"/>
      <c r="I292" s="72" t="s">
        <v>156</v>
      </c>
      <c r="J292" s="14">
        <f t="shared" ca="1" si="24"/>
        <v>0</v>
      </c>
      <c r="K292" s="4">
        <f t="shared" ca="1" si="21"/>
        <v>0</v>
      </c>
      <c r="L292" s="73">
        <f t="shared" ca="1" si="22"/>
        <v>0</v>
      </c>
      <c r="M292" s="6">
        <f t="shared" si="23"/>
        <v>1</v>
      </c>
      <c r="N292">
        <v>0</v>
      </c>
    </row>
    <row r="293" spans="1:14">
      <c r="B293" s="72" t="s">
        <v>157</v>
      </c>
      <c r="C293" s="6">
        <v>0</v>
      </c>
      <c r="D293" s="5"/>
      <c r="F293" s="14"/>
      <c r="I293" s="72" t="s">
        <v>157</v>
      </c>
      <c r="J293" s="14">
        <f t="shared" ca="1" si="24"/>
        <v>0</v>
      </c>
      <c r="K293" s="4">
        <f t="shared" ca="1" si="21"/>
        <v>0</v>
      </c>
      <c r="L293" s="73">
        <f t="shared" ca="1" si="22"/>
        <v>0</v>
      </c>
      <c r="M293" s="6">
        <f t="shared" si="23"/>
        <v>1</v>
      </c>
      <c r="N293">
        <v>0</v>
      </c>
    </row>
    <row r="294" spans="1:14">
      <c r="B294" s="72" t="s">
        <v>158</v>
      </c>
      <c r="C294" s="6">
        <v>0</v>
      </c>
      <c r="D294" s="5"/>
      <c r="F294" s="14"/>
      <c r="I294" s="72" t="s">
        <v>158</v>
      </c>
      <c r="J294" s="14">
        <f t="shared" ca="1" si="24"/>
        <v>0</v>
      </c>
      <c r="K294" s="4">
        <f t="shared" ca="1" si="21"/>
        <v>0</v>
      </c>
      <c r="L294" s="73">
        <f t="shared" ca="1" si="22"/>
        <v>0</v>
      </c>
      <c r="M294" s="6">
        <f t="shared" si="23"/>
        <v>1</v>
      </c>
      <c r="N294">
        <v>0</v>
      </c>
    </row>
    <row r="295" spans="1:14">
      <c r="B295" s="72" t="s">
        <v>395</v>
      </c>
      <c r="C295" s="6">
        <v>0</v>
      </c>
      <c r="D295" s="5"/>
      <c r="I295" s="72" t="s">
        <v>395</v>
      </c>
      <c r="J295" s="14">
        <f t="shared" ca="1" si="24"/>
        <v>0</v>
      </c>
      <c r="K295" s="4">
        <f t="shared" ca="1" si="21"/>
        <v>0</v>
      </c>
      <c r="L295" s="73">
        <f t="shared" ca="1" si="22"/>
        <v>0</v>
      </c>
      <c r="M295" s="6">
        <f t="shared" si="23"/>
        <v>1</v>
      </c>
      <c r="N295">
        <v>-2</v>
      </c>
    </row>
    <row r="296" spans="1:14">
      <c r="B296" s="72" t="s">
        <v>396</v>
      </c>
      <c r="C296" s="6">
        <v>0</v>
      </c>
      <c r="D296" s="5"/>
      <c r="F296" s="14"/>
      <c r="I296" s="72" t="s">
        <v>396</v>
      </c>
      <c r="J296" s="14">
        <f t="shared" ca="1" si="24"/>
        <v>0</v>
      </c>
      <c r="K296" s="4">
        <f t="shared" ca="1" si="21"/>
        <v>0</v>
      </c>
      <c r="L296" s="73">
        <f t="shared" ca="1" si="22"/>
        <v>0</v>
      </c>
      <c r="M296" s="6">
        <f t="shared" si="23"/>
        <v>1</v>
      </c>
      <c r="N296">
        <v>0</v>
      </c>
    </row>
    <row r="297" spans="1:14">
      <c r="B297" s="72" t="s">
        <v>397</v>
      </c>
      <c r="C297" s="6">
        <v>0</v>
      </c>
      <c r="D297" s="5"/>
      <c r="E297" s="7"/>
      <c r="F297" s="14"/>
      <c r="I297" s="72" t="s">
        <v>397</v>
      </c>
      <c r="J297" s="14">
        <f t="shared" ca="1" si="24"/>
        <v>0</v>
      </c>
      <c r="K297" s="4">
        <f t="shared" ca="1" si="21"/>
        <v>0</v>
      </c>
      <c r="L297" s="73">
        <f t="shared" ca="1" si="22"/>
        <v>0</v>
      </c>
      <c r="M297" s="6">
        <f t="shared" si="23"/>
        <v>1</v>
      </c>
      <c r="N297">
        <v>0</v>
      </c>
    </row>
    <row r="298" spans="1:14">
      <c r="B298" s="72" t="s">
        <v>398</v>
      </c>
      <c r="C298" s="6">
        <v>0</v>
      </c>
      <c r="D298" s="5"/>
      <c r="F298" s="14"/>
      <c r="I298" s="72" t="s">
        <v>398</v>
      </c>
      <c r="J298" s="14">
        <f t="shared" ca="1" si="24"/>
        <v>0</v>
      </c>
      <c r="K298" s="4">
        <f t="shared" ca="1" si="21"/>
        <v>0</v>
      </c>
      <c r="L298" s="73">
        <f t="shared" ca="1" si="22"/>
        <v>0</v>
      </c>
      <c r="M298" s="6">
        <f t="shared" si="23"/>
        <v>1</v>
      </c>
      <c r="N298">
        <v>0</v>
      </c>
    </row>
    <row r="299" spans="1:14">
      <c r="B299" s="72" t="s">
        <v>399</v>
      </c>
      <c r="C299" s="6">
        <v>0</v>
      </c>
      <c r="D299" s="5"/>
      <c r="I299" s="72" t="s">
        <v>399</v>
      </c>
      <c r="J299" s="14">
        <f t="shared" ca="1" si="24"/>
        <v>0</v>
      </c>
      <c r="K299" s="4">
        <f t="shared" ca="1" si="21"/>
        <v>0</v>
      </c>
      <c r="L299" s="73">
        <f t="shared" ca="1" si="22"/>
        <v>0</v>
      </c>
      <c r="M299" s="6">
        <f t="shared" si="23"/>
        <v>1</v>
      </c>
      <c r="N299">
        <v>0</v>
      </c>
    </row>
    <row r="300" spans="1:14">
      <c r="B300" s="4" t="s">
        <v>717</v>
      </c>
      <c r="C300" s="6">
        <v>0</v>
      </c>
      <c r="D300" s="5"/>
      <c r="F300" s="14"/>
      <c r="I300" s="4" t="s">
        <v>717</v>
      </c>
      <c r="J300" s="14">
        <f t="shared" ca="1" si="24"/>
        <v>0</v>
      </c>
      <c r="K300" s="4">
        <f t="shared" ca="1" si="21"/>
        <v>0</v>
      </c>
      <c r="L300" s="73">
        <f t="shared" ca="1" si="22"/>
        <v>0</v>
      </c>
      <c r="M300" s="6">
        <f t="shared" si="23"/>
        <v>1</v>
      </c>
      <c r="N300">
        <v>0</v>
      </c>
    </row>
    <row r="301" spans="1:14">
      <c r="B301" s="72" t="s">
        <v>400</v>
      </c>
      <c r="C301" s="6">
        <v>0</v>
      </c>
      <c r="D301" s="5"/>
      <c r="F301" s="14"/>
      <c r="I301" s="72" t="s">
        <v>400</v>
      </c>
      <c r="J301" s="14">
        <f t="shared" ca="1" si="24"/>
        <v>0</v>
      </c>
      <c r="K301" s="4">
        <f t="shared" ca="1" si="21"/>
        <v>0</v>
      </c>
      <c r="L301" s="73">
        <f t="shared" ca="1" si="22"/>
        <v>0</v>
      </c>
      <c r="M301" s="6">
        <f t="shared" si="23"/>
        <v>1</v>
      </c>
      <c r="N301">
        <v>0</v>
      </c>
    </row>
    <row r="302" spans="1:14">
      <c r="B302" s="72" t="s">
        <v>401</v>
      </c>
      <c r="C302" s="6">
        <v>0</v>
      </c>
      <c r="D302" s="5"/>
      <c r="F302" s="14"/>
      <c r="I302" s="72" t="s">
        <v>401</v>
      </c>
      <c r="J302" s="14">
        <f t="shared" ca="1" si="24"/>
        <v>0</v>
      </c>
      <c r="K302" s="4">
        <f t="shared" ca="1" si="21"/>
        <v>0</v>
      </c>
      <c r="L302" s="73">
        <f t="shared" ca="1" si="22"/>
        <v>0</v>
      </c>
      <c r="M302" s="6">
        <f t="shared" si="23"/>
        <v>1</v>
      </c>
      <c r="N302">
        <v>0</v>
      </c>
    </row>
    <row r="303" spans="1:14">
      <c r="B303" s="72" t="s">
        <v>402</v>
      </c>
      <c r="C303" s="6">
        <v>0</v>
      </c>
      <c r="D303" s="5"/>
      <c r="F303" s="14"/>
      <c r="I303" s="72" t="s">
        <v>402</v>
      </c>
      <c r="J303" s="14">
        <f t="shared" ca="1" si="24"/>
        <v>0</v>
      </c>
      <c r="K303" s="4">
        <f t="shared" ca="1" si="21"/>
        <v>0</v>
      </c>
      <c r="L303" s="73">
        <f t="shared" ca="1" si="22"/>
        <v>0</v>
      </c>
      <c r="M303" s="6">
        <f t="shared" si="23"/>
        <v>1</v>
      </c>
      <c r="N303">
        <v>0</v>
      </c>
    </row>
    <row r="304" spans="1:14">
      <c r="B304" s="72" t="s">
        <v>403</v>
      </c>
      <c r="C304" s="6">
        <v>0</v>
      </c>
      <c r="D304" s="5"/>
      <c r="E304" s="7"/>
      <c r="F304" s="14"/>
      <c r="I304" s="72" t="s">
        <v>403</v>
      </c>
      <c r="J304" s="14">
        <f t="shared" ca="1" si="24"/>
        <v>0</v>
      </c>
      <c r="K304" s="4">
        <f t="shared" ca="1" si="21"/>
        <v>0</v>
      </c>
      <c r="L304" s="73">
        <f t="shared" ca="1" si="22"/>
        <v>0</v>
      </c>
      <c r="M304" s="6">
        <f t="shared" si="23"/>
        <v>1</v>
      </c>
      <c r="N304">
        <v>0</v>
      </c>
    </row>
    <row r="305" spans="1:14">
      <c r="B305" s="72" t="s">
        <v>404</v>
      </c>
      <c r="C305" s="6">
        <v>0</v>
      </c>
      <c r="D305" s="5"/>
      <c r="F305" s="14"/>
      <c r="I305" s="72" t="s">
        <v>404</v>
      </c>
      <c r="J305" s="14">
        <f t="shared" ca="1" si="24"/>
        <v>0</v>
      </c>
      <c r="K305" s="4">
        <f t="shared" ca="1" si="21"/>
        <v>0</v>
      </c>
      <c r="L305" s="73">
        <f t="shared" ca="1" si="22"/>
        <v>0</v>
      </c>
      <c r="M305" s="6">
        <f t="shared" si="23"/>
        <v>1</v>
      </c>
      <c r="N305">
        <v>0</v>
      </c>
    </row>
    <row r="306" spans="1:14">
      <c r="B306" s="72" t="s">
        <v>405</v>
      </c>
      <c r="C306" s="6">
        <v>0</v>
      </c>
      <c r="D306" s="5"/>
      <c r="F306" s="14"/>
      <c r="I306" s="72" t="s">
        <v>405</v>
      </c>
      <c r="J306" s="14">
        <f t="shared" ca="1" si="24"/>
        <v>0</v>
      </c>
      <c r="K306" s="4">
        <f t="shared" ca="1" si="21"/>
        <v>0</v>
      </c>
      <c r="L306" s="73">
        <f t="shared" ca="1" si="22"/>
        <v>0</v>
      </c>
      <c r="M306" s="6">
        <f t="shared" si="23"/>
        <v>1</v>
      </c>
      <c r="N306">
        <v>0</v>
      </c>
    </row>
    <row r="307" spans="1:14">
      <c r="B307" s="13" t="s">
        <v>159</v>
      </c>
      <c r="C307" s="6">
        <v>0</v>
      </c>
      <c r="D307" s="5"/>
      <c r="E307" s="7"/>
      <c r="F307" s="14"/>
      <c r="I307" s="13" t="s">
        <v>159</v>
      </c>
      <c r="J307" s="14">
        <f t="shared" ca="1" si="24"/>
        <v>0</v>
      </c>
      <c r="K307" s="4">
        <f t="shared" ca="1" si="21"/>
        <v>0</v>
      </c>
      <c r="L307" s="73">
        <f t="shared" ca="1" si="22"/>
        <v>0</v>
      </c>
      <c r="M307" s="6">
        <f t="shared" si="23"/>
        <v>1</v>
      </c>
      <c r="N307">
        <v>0</v>
      </c>
    </row>
    <row r="308" spans="1:14">
      <c r="A308" s="4"/>
      <c r="B308" s="13" t="s">
        <v>406</v>
      </c>
      <c r="C308" s="6">
        <v>0</v>
      </c>
      <c r="D308" s="5"/>
      <c r="F308" s="14"/>
      <c r="I308" s="13" t="s">
        <v>406</v>
      </c>
      <c r="J308" s="14">
        <f t="shared" ca="1" si="24"/>
        <v>0</v>
      </c>
      <c r="K308" s="4">
        <f t="shared" ca="1" si="21"/>
        <v>0</v>
      </c>
      <c r="L308" s="73">
        <f t="shared" ca="1" si="22"/>
        <v>0</v>
      </c>
      <c r="M308" s="6">
        <f t="shared" si="23"/>
        <v>1</v>
      </c>
      <c r="N308">
        <v>0</v>
      </c>
    </row>
    <row r="309" spans="1:14">
      <c r="A309" s="29"/>
      <c r="B309" s="13" t="s">
        <v>160</v>
      </c>
      <c r="C309" s="6">
        <v>2</v>
      </c>
      <c r="D309" s="5"/>
      <c r="F309" s="14"/>
      <c r="I309" s="13" t="s">
        <v>160</v>
      </c>
      <c r="J309" s="14">
        <f t="shared" ca="1" si="24"/>
        <v>2</v>
      </c>
      <c r="K309" s="4">
        <f t="shared" ca="1" si="21"/>
        <v>0</v>
      </c>
      <c r="L309" s="73">
        <f t="shared" ca="1" si="22"/>
        <v>2</v>
      </c>
      <c r="M309" s="6">
        <f t="shared" si="23"/>
        <v>1</v>
      </c>
      <c r="N309">
        <v>2</v>
      </c>
    </row>
    <row r="310" spans="1:14">
      <c r="A310" s="29"/>
      <c r="B310" s="13" t="s">
        <v>407</v>
      </c>
      <c r="C310" s="6">
        <v>4</v>
      </c>
      <c r="D310" s="5"/>
      <c r="F310" s="14"/>
      <c r="I310" s="13" t="s">
        <v>407</v>
      </c>
      <c r="J310" s="14">
        <f t="shared" ca="1" si="24"/>
        <v>4</v>
      </c>
      <c r="K310" s="4">
        <f t="shared" ca="1" si="21"/>
        <v>0</v>
      </c>
      <c r="L310" s="73">
        <f t="shared" ca="1" si="22"/>
        <v>4</v>
      </c>
      <c r="M310" s="6">
        <f t="shared" si="23"/>
        <v>1</v>
      </c>
      <c r="N310">
        <v>4</v>
      </c>
    </row>
    <row r="311" spans="1:14">
      <c r="A311" s="29"/>
      <c r="B311" s="13" t="s">
        <v>161</v>
      </c>
      <c r="C311" s="6">
        <v>0</v>
      </c>
      <c r="D311" s="5"/>
      <c r="F311" s="14"/>
      <c r="I311" s="13" t="s">
        <v>161</v>
      </c>
      <c r="J311" s="14">
        <f t="shared" ca="1" si="24"/>
        <v>0</v>
      </c>
      <c r="K311" s="4">
        <f t="shared" ca="1" si="21"/>
        <v>0</v>
      </c>
      <c r="L311" s="73">
        <f t="shared" ca="1" si="22"/>
        <v>0</v>
      </c>
      <c r="M311" s="6">
        <f t="shared" si="23"/>
        <v>1</v>
      </c>
      <c r="N311">
        <v>0</v>
      </c>
    </row>
    <row r="312" spans="1:14">
      <c r="A312" s="13"/>
      <c r="B312" s="13" t="s">
        <v>162</v>
      </c>
      <c r="C312" s="6">
        <v>0</v>
      </c>
      <c r="D312" s="5"/>
      <c r="F312" s="14"/>
      <c r="I312" s="13" t="s">
        <v>162</v>
      </c>
      <c r="J312" s="14">
        <f t="shared" ca="1" si="24"/>
        <v>0</v>
      </c>
      <c r="K312" s="4">
        <f t="shared" ca="1" si="21"/>
        <v>0</v>
      </c>
      <c r="L312" s="73">
        <f t="shared" ca="1" si="22"/>
        <v>0</v>
      </c>
      <c r="M312" s="6">
        <f t="shared" si="23"/>
        <v>1</v>
      </c>
      <c r="N312">
        <v>0</v>
      </c>
    </row>
    <row r="313" spans="1:14">
      <c r="A313" s="29"/>
      <c r="B313" s="13" t="s">
        <v>163</v>
      </c>
      <c r="C313" s="6">
        <v>0</v>
      </c>
      <c r="D313" s="5"/>
      <c r="F313" s="14"/>
      <c r="I313" s="13" t="s">
        <v>163</v>
      </c>
      <c r="J313" s="14">
        <f t="shared" ca="1" si="24"/>
        <v>0</v>
      </c>
      <c r="K313" s="4">
        <f t="shared" ca="1" si="21"/>
        <v>0</v>
      </c>
      <c r="L313" s="73">
        <f t="shared" ref="L313:L374" ca="1" si="25">J313-K313</f>
        <v>0</v>
      </c>
      <c r="M313" s="6">
        <f t="shared" si="23"/>
        <v>1</v>
      </c>
      <c r="N313">
        <v>0</v>
      </c>
    </row>
    <row r="314" spans="1:14">
      <c r="A314" s="13"/>
      <c r="B314" s="13" t="s">
        <v>408</v>
      </c>
      <c r="C314" s="6">
        <v>0</v>
      </c>
      <c r="D314" s="5"/>
      <c r="F314" s="14"/>
      <c r="I314" s="13" t="s">
        <v>408</v>
      </c>
      <c r="J314" s="14">
        <f t="shared" ca="1" si="24"/>
        <v>0</v>
      </c>
      <c r="K314" s="4">
        <f t="shared" ca="1" si="21"/>
        <v>0</v>
      </c>
      <c r="L314" s="73">
        <f t="shared" ca="1" si="25"/>
        <v>0</v>
      </c>
      <c r="M314" s="6">
        <f t="shared" si="23"/>
        <v>1</v>
      </c>
      <c r="N314">
        <v>-1</v>
      </c>
    </row>
    <row r="315" spans="1:14">
      <c r="B315" s="13" t="s">
        <v>409</v>
      </c>
      <c r="C315" s="6">
        <v>0</v>
      </c>
      <c r="D315" s="5"/>
      <c r="F315" s="14"/>
      <c r="I315" s="13" t="s">
        <v>409</v>
      </c>
      <c r="J315" s="14">
        <f t="shared" ca="1" si="24"/>
        <v>0</v>
      </c>
      <c r="K315" s="4">
        <f t="shared" ca="1" si="21"/>
        <v>0</v>
      </c>
      <c r="L315" s="73">
        <f t="shared" ca="1" si="25"/>
        <v>0</v>
      </c>
      <c r="M315" s="6">
        <f t="shared" si="23"/>
        <v>1</v>
      </c>
      <c r="N315">
        <v>0</v>
      </c>
    </row>
    <row r="316" spans="1:14">
      <c r="B316" s="13" t="s">
        <v>164</v>
      </c>
      <c r="C316" s="6">
        <v>0</v>
      </c>
      <c r="D316" s="5"/>
      <c r="F316" s="14"/>
      <c r="I316" s="13" t="s">
        <v>164</v>
      </c>
      <c r="J316" s="14">
        <f t="shared" ca="1" si="24"/>
        <v>0</v>
      </c>
      <c r="K316" s="4">
        <f t="shared" ca="1" si="21"/>
        <v>0</v>
      </c>
      <c r="L316" s="73">
        <f t="shared" ca="1" si="25"/>
        <v>0</v>
      </c>
      <c r="M316" s="6">
        <f t="shared" si="23"/>
        <v>1</v>
      </c>
      <c r="N316">
        <v>0</v>
      </c>
    </row>
    <row r="317" spans="1:14">
      <c r="B317" s="13" t="s">
        <v>410</v>
      </c>
      <c r="C317" s="6">
        <v>0</v>
      </c>
      <c r="D317" s="5"/>
      <c r="F317" s="14"/>
      <c r="I317" s="13" t="s">
        <v>410</v>
      </c>
      <c r="J317" s="14">
        <f t="shared" ca="1" si="24"/>
        <v>0</v>
      </c>
      <c r="K317" s="4">
        <f t="shared" ca="1" si="21"/>
        <v>0</v>
      </c>
      <c r="L317" s="73">
        <f t="shared" ca="1" si="25"/>
        <v>0</v>
      </c>
      <c r="M317" s="6">
        <f t="shared" si="23"/>
        <v>1</v>
      </c>
      <c r="N317">
        <v>0</v>
      </c>
    </row>
    <row r="318" spans="1:14">
      <c r="B318" s="13" t="s">
        <v>411</v>
      </c>
      <c r="C318" s="6">
        <v>2</v>
      </c>
      <c r="D318" s="5"/>
      <c r="F318" s="14"/>
      <c r="I318" s="13" t="s">
        <v>411</v>
      </c>
      <c r="J318" s="14">
        <f t="shared" ca="1" si="24"/>
        <v>2</v>
      </c>
      <c r="K318" s="4">
        <f t="shared" ca="1" si="21"/>
        <v>1</v>
      </c>
      <c r="L318" s="73">
        <f t="shared" ca="1" si="25"/>
        <v>1</v>
      </c>
      <c r="M318" s="6">
        <f t="shared" si="23"/>
        <v>1</v>
      </c>
      <c r="N318">
        <v>2</v>
      </c>
    </row>
    <row r="319" spans="1:14">
      <c r="B319" s="13" t="s">
        <v>165</v>
      </c>
      <c r="C319" s="6">
        <v>9</v>
      </c>
      <c r="D319" s="5"/>
      <c r="E319" s="7"/>
      <c r="F319" s="14"/>
      <c r="I319" s="13" t="s">
        <v>165</v>
      </c>
      <c r="J319" s="14">
        <f t="shared" ca="1" si="24"/>
        <v>9</v>
      </c>
      <c r="K319" s="4">
        <f t="shared" ca="1" si="21"/>
        <v>0</v>
      </c>
      <c r="L319" s="73">
        <f t="shared" ca="1" si="25"/>
        <v>9</v>
      </c>
      <c r="M319" s="6">
        <f t="shared" si="23"/>
        <v>1</v>
      </c>
      <c r="N319">
        <v>9</v>
      </c>
    </row>
    <row r="320" spans="1:14">
      <c r="B320" s="13" t="s">
        <v>166</v>
      </c>
      <c r="C320" s="6">
        <v>0</v>
      </c>
      <c r="D320" s="5"/>
      <c r="F320" s="14"/>
      <c r="I320" s="13" t="s">
        <v>166</v>
      </c>
      <c r="J320" s="14">
        <f t="shared" ca="1" si="24"/>
        <v>0</v>
      </c>
      <c r="K320" s="4">
        <f t="shared" ca="1" si="21"/>
        <v>0</v>
      </c>
      <c r="L320" s="73">
        <f t="shared" ca="1" si="25"/>
        <v>0</v>
      </c>
      <c r="M320" s="6">
        <f t="shared" si="23"/>
        <v>1</v>
      </c>
      <c r="N320">
        <v>0</v>
      </c>
    </row>
    <row r="321" spans="1:14">
      <c r="B321" s="13" t="s">
        <v>167</v>
      </c>
      <c r="C321" s="6">
        <v>0</v>
      </c>
      <c r="D321" s="5"/>
      <c r="F321" s="14"/>
      <c r="I321" s="13" t="s">
        <v>167</v>
      </c>
      <c r="J321" s="14">
        <f t="shared" ca="1" si="24"/>
        <v>0</v>
      </c>
      <c r="K321" s="4">
        <f t="shared" ca="1" si="21"/>
        <v>0</v>
      </c>
      <c r="L321" s="73">
        <f t="shared" ca="1" si="25"/>
        <v>0</v>
      </c>
      <c r="M321" s="6">
        <f t="shared" si="23"/>
        <v>1</v>
      </c>
      <c r="N321">
        <v>0</v>
      </c>
    </row>
    <row r="322" spans="1:14">
      <c r="B322" s="13" t="s">
        <v>168</v>
      </c>
      <c r="C322" s="6">
        <v>0</v>
      </c>
      <c r="D322" s="5"/>
      <c r="E322" s="7"/>
      <c r="F322" s="18"/>
      <c r="I322" s="13" t="s">
        <v>168</v>
      </c>
      <c r="J322" s="14">
        <f t="shared" ca="1" si="24"/>
        <v>0</v>
      </c>
      <c r="K322" s="4">
        <f t="shared" ref="K322:K385" ca="1" si="26">SUMIF(F:G,I322,G:G)</f>
        <v>0</v>
      </c>
      <c r="L322" s="73">
        <f t="shared" ca="1" si="25"/>
        <v>0</v>
      </c>
      <c r="M322" s="6">
        <f t="shared" si="23"/>
        <v>1</v>
      </c>
      <c r="N322">
        <v>0</v>
      </c>
    </row>
    <row r="323" spans="1:14">
      <c r="B323" s="13" t="s">
        <v>169</v>
      </c>
      <c r="C323" s="6">
        <v>3</v>
      </c>
      <c r="D323" s="5"/>
      <c r="F323" s="14"/>
      <c r="I323" s="13" t="s">
        <v>169</v>
      </c>
      <c r="J323" s="14">
        <f t="shared" ca="1" si="24"/>
        <v>3</v>
      </c>
      <c r="K323" s="4">
        <f t="shared" ca="1" si="26"/>
        <v>0</v>
      </c>
      <c r="L323" s="73">
        <f t="shared" ca="1" si="25"/>
        <v>3</v>
      </c>
      <c r="M323" s="6">
        <f t="shared" si="23"/>
        <v>1</v>
      </c>
      <c r="N323">
        <v>3</v>
      </c>
    </row>
    <row r="324" spans="1:14">
      <c r="B324" s="13" t="s">
        <v>170</v>
      </c>
      <c r="C324" s="6">
        <v>1</v>
      </c>
      <c r="D324" s="5"/>
      <c r="F324" s="14"/>
      <c r="I324" s="13" t="s">
        <v>170</v>
      </c>
      <c r="J324" s="14">
        <f t="shared" ca="1" si="24"/>
        <v>1</v>
      </c>
      <c r="K324" s="4">
        <f t="shared" ca="1" si="26"/>
        <v>0</v>
      </c>
      <c r="L324" s="73">
        <f t="shared" ca="1" si="25"/>
        <v>1</v>
      </c>
      <c r="M324" s="6">
        <f t="shared" si="23"/>
        <v>1</v>
      </c>
      <c r="N324">
        <v>1</v>
      </c>
    </row>
    <row r="325" spans="1:14">
      <c r="B325" s="13" t="s">
        <v>171</v>
      </c>
      <c r="C325" s="6">
        <v>0</v>
      </c>
      <c r="D325" s="5"/>
      <c r="F325" s="14"/>
      <c r="I325" s="13" t="s">
        <v>171</v>
      </c>
      <c r="J325" s="14">
        <f t="shared" ca="1" si="24"/>
        <v>0</v>
      </c>
      <c r="K325" s="4">
        <f t="shared" ca="1" si="26"/>
        <v>0</v>
      </c>
      <c r="L325" s="73">
        <f t="shared" ca="1" si="25"/>
        <v>0</v>
      </c>
      <c r="M325" s="6">
        <f t="shared" ref="M325:M388" si="27">MATCH(I325,B325,0)</f>
        <v>1</v>
      </c>
      <c r="N325">
        <v>0</v>
      </c>
    </row>
    <row r="326" spans="1:14">
      <c r="B326" s="13" t="s">
        <v>172</v>
      </c>
      <c r="C326" s="6">
        <v>7</v>
      </c>
      <c r="D326" s="5"/>
      <c r="F326" s="14"/>
      <c r="I326" s="13" t="s">
        <v>172</v>
      </c>
      <c r="J326" s="14">
        <f t="shared" ca="1" si="24"/>
        <v>7</v>
      </c>
      <c r="K326" s="4">
        <f t="shared" ca="1" si="26"/>
        <v>0</v>
      </c>
      <c r="L326" s="73">
        <f t="shared" ca="1" si="25"/>
        <v>7</v>
      </c>
      <c r="M326" s="6">
        <f t="shared" si="27"/>
        <v>1</v>
      </c>
      <c r="N326">
        <v>7</v>
      </c>
    </row>
    <row r="327" spans="1:14">
      <c r="B327" s="13" t="s">
        <v>412</v>
      </c>
      <c r="C327" s="6">
        <v>0</v>
      </c>
      <c r="D327" s="5"/>
      <c r="F327" s="14"/>
      <c r="I327" s="13" t="s">
        <v>412</v>
      </c>
      <c r="J327" s="14">
        <f t="shared" ca="1" si="24"/>
        <v>0</v>
      </c>
      <c r="K327" s="4">
        <f t="shared" ca="1" si="26"/>
        <v>0</v>
      </c>
      <c r="L327" s="73">
        <f t="shared" ca="1" si="25"/>
        <v>0</v>
      </c>
      <c r="M327" s="6">
        <f t="shared" si="27"/>
        <v>1</v>
      </c>
      <c r="N327">
        <v>0</v>
      </c>
    </row>
    <row r="328" spans="1:14">
      <c r="B328" s="13" t="s">
        <v>413</v>
      </c>
      <c r="C328" s="6">
        <v>0</v>
      </c>
      <c r="D328" s="5"/>
      <c r="E328" s="7"/>
      <c r="F328" s="14"/>
      <c r="I328" s="13" t="s">
        <v>413</v>
      </c>
      <c r="J328" s="14">
        <f t="shared" ca="1" si="24"/>
        <v>0</v>
      </c>
      <c r="K328" s="4">
        <f t="shared" ca="1" si="26"/>
        <v>0</v>
      </c>
      <c r="L328" s="73">
        <f t="shared" ca="1" si="25"/>
        <v>0</v>
      </c>
      <c r="M328" s="6">
        <f t="shared" si="27"/>
        <v>1</v>
      </c>
      <c r="N328">
        <v>0</v>
      </c>
    </row>
    <row r="329" spans="1:14">
      <c r="A329" s="29"/>
      <c r="B329" s="13" t="s">
        <v>414</v>
      </c>
      <c r="C329" s="6">
        <v>6</v>
      </c>
      <c r="D329" s="5"/>
      <c r="F329" s="14"/>
      <c r="I329" s="13" t="s">
        <v>414</v>
      </c>
      <c r="J329" s="14">
        <f t="shared" ca="1" si="24"/>
        <v>6</v>
      </c>
      <c r="K329" s="4">
        <f t="shared" ca="1" si="26"/>
        <v>0</v>
      </c>
      <c r="L329" s="73">
        <f t="shared" ca="1" si="25"/>
        <v>6</v>
      </c>
      <c r="M329" s="6">
        <f t="shared" si="27"/>
        <v>1</v>
      </c>
      <c r="N329">
        <v>6</v>
      </c>
    </row>
    <row r="330" spans="1:14">
      <c r="A330" s="29"/>
      <c r="B330" s="4" t="s">
        <v>718</v>
      </c>
      <c r="C330" s="6">
        <v>0</v>
      </c>
      <c r="D330" s="5"/>
      <c r="F330" s="14"/>
      <c r="I330" s="4" t="s">
        <v>718</v>
      </c>
      <c r="J330" s="14">
        <f t="shared" ca="1" si="24"/>
        <v>0</v>
      </c>
      <c r="K330" s="4">
        <f t="shared" ca="1" si="26"/>
        <v>0</v>
      </c>
      <c r="L330" s="73">
        <f t="shared" ca="1" si="25"/>
        <v>0</v>
      </c>
      <c r="M330" s="6">
        <f t="shared" si="27"/>
        <v>1</v>
      </c>
      <c r="N330">
        <v>0</v>
      </c>
    </row>
    <row r="331" spans="1:14">
      <c r="A331" s="29"/>
      <c r="B331" s="13" t="s">
        <v>415</v>
      </c>
      <c r="C331" s="6">
        <v>1</v>
      </c>
      <c r="D331" s="5"/>
      <c r="F331" s="14"/>
      <c r="I331" s="13" t="s">
        <v>415</v>
      </c>
      <c r="J331" s="14">
        <f t="shared" ca="1" si="24"/>
        <v>1</v>
      </c>
      <c r="K331" s="4">
        <f t="shared" ca="1" si="26"/>
        <v>0</v>
      </c>
      <c r="L331" s="73">
        <f t="shared" ca="1" si="25"/>
        <v>1</v>
      </c>
      <c r="M331" s="6">
        <f t="shared" si="27"/>
        <v>1</v>
      </c>
      <c r="N331">
        <v>1</v>
      </c>
    </row>
    <row r="332" spans="1:14">
      <c r="A332" s="29"/>
      <c r="B332" s="13" t="s">
        <v>416</v>
      </c>
      <c r="C332" s="6">
        <v>0</v>
      </c>
      <c r="D332" s="5"/>
      <c r="F332" s="18"/>
      <c r="I332" s="13" t="s">
        <v>416</v>
      </c>
      <c r="J332" s="14">
        <f t="shared" ref="J332:J395" ca="1" si="28">SUMIF(B:C,I332,C:C)</f>
        <v>0</v>
      </c>
      <c r="K332" s="4">
        <f t="shared" ca="1" si="26"/>
        <v>0</v>
      </c>
      <c r="L332" s="73">
        <f t="shared" ca="1" si="25"/>
        <v>0</v>
      </c>
      <c r="M332" s="6">
        <f t="shared" si="27"/>
        <v>1</v>
      </c>
      <c r="N332">
        <v>0</v>
      </c>
    </row>
    <row r="333" spans="1:14">
      <c r="A333" s="29"/>
      <c r="B333" s="13" t="s">
        <v>417</v>
      </c>
      <c r="C333" s="6">
        <v>0</v>
      </c>
      <c r="D333" s="5"/>
      <c r="E333" s="7"/>
      <c r="F333" s="14"/>
      <c r="I333" s="13" t="s">
        <v>417</v>
      </c>
      <c r="J333" s="14">
        <f t="shared" ca="1" si="28"/>
        <v>0</v>
      </c>
      <c r="K333" s="4">
        <f t="shared" ca="1" si="26"/>
        <v>0</v>
      </c>
      <c r="L333" s="73">
        <f t="shared" ca="1" si="25"/>
        <v>0</v>
      </c>
      <c r="M333" s="6">
        <f t="shared" si="27"/>
        <v>1</v>
      </c>
      <c r="N333">
        <v>0</v>
      </c>
    </row>
    <row r="334" spans="1:14">
      <c r="A334" s="29"/>
      <c r="B334" s="13" t="s">
        <v>418</v>
      </c>
      <c r="C334" s="6">
        <v>0</v>
      </c>
      <c r="D334" s="5"/>
      <c r="F334" s="14"/>
      <c r="I334" s="13" t="s">
        <v>418</v>
      </c>
      <c r="J334" s="14">
        <f t="shared" ca="1" si="28"/>
        <v>0</v>
      </c>
      <c r="K334" s="4">
        <f t="shared" ca="1" si="26"/>
        <v>0</v>
      </c>
      <c r="L334" s="73">
        <f t="shared" ca="1" si="25"/>
        <v>0</v>
      </c>
      <c r="M334" s="6">
        <f t="shared" si="27"/>
        <v>1</v>
      </c>
      <c r="N334">
        <v>0</v>
      </c>
    </row>
    <row r="335" spans="1:14">
      <c r="A335" s="29"/>
      <c r="B335" s="13" t="s">
        <v>173</v>
      </c>
      <c r="C335" s="6">
        <v>0</v>
      </c>
      <c r="D335" s="5"/>
      <c r="F335" s="14"/>
      <c r="I335" s="13" t="s">
        <v>173</v>
      </c>
      <c r="J335" s="14">
        <f t="shared" ca="1" si="28"/>
        <v>0</v>
      </c>
      <c r="K335" s="4">
        <f t="shared" ca="1" si="26"/>
        <v>0</v>
      </c>
      <c r="L335" s="73">
        <f t="shared" ca="1" si="25"/>
        <v>0</v>
      </c>
      <c r="M335" s="6">
        <f t="shared" si="27"/>
        <v>1</v>
      </c>
      <c r="N335">
        <v>0</v>
      </c>
    </row>
    <row r="336" spans="1:14">
      <c r="A336" s="29"/>
      <c r="B336" s="13" t="s">
        <v>174</v>
      </c>
      <c r="C336" s="6">
        <v>2</v>
      </c>
      <c r="D336" s="5"/>
      <c r="F336" s="14"/>
      <c r="I336" s="13" t="s">
        <v>174</v>
      </c>
      <c r="J336" s="14">
        <f t="shared" ca="1" si="28"/>
        <v>2</v>
      </c>
      <c r="K336" s="4">
        <f t="shared" ca="1" si="26"/>
        <v>0</v>
      </c>
      <c r="L336" s="73">
        <f t="shared" ca="1" si="25"/>
        <v>2</v>
      </c>
      <c r="M336" s="6">
        <f t="shared" si="27"/>
        <v>1</v>
      </c>
      <c r="N336">
        <v>2</v>
      </c>
    </row>
    <row r="337" spans="1:14">
      <c r="A337" s="30"/>
      <c r="B337" s="13" t="s">
        <v>175</v>
      </c>
      <c r="C337" s="6">
        <v>0</v>
      </c>
      <c r="D337" s="5"/>
      <c r="F337" s="14"/>
      <c r="I337" s="13" t="s">
        <v>175</v>
      </c>
      <c r="J337" s="14">
        <f t="shared" ca="1" si="28"/>
        <v>0</v>
      </c>
      <c r="K337" s="4">
        <f t="shared" ca="1" si="26"/>
        <v>0</v>
      </c>
      <c r="L337" s="73">
        <f t="shared" ca="1" si="25"/>
        <v>0</v>
      </c>
      <c r="M337" s="6">
        <f t="shared" si="27"/>
        <v>1</v>
      </c>
      <c r="N337">
        <v>0</v>
      </c>
    </row>
    <row r="338" spans="1:14">
      <c r="A338" s="29"/>
      <c r="B338" s="13" t="s">
        <v>26</v>
      </c>
      <c r="C338" s="6">
        <v>3</v>
      </c>
      <c r="D338" s="5"/>
      <c r="E338" s="7"/>
      <c r="F338" s="14"/>
      <c r="I338" s="13" t="s">
        <v>26</v>
      </c>
      <c r="J338" s="14">
        <f t="shared" ca="1" si="28"/>
        <v>3</v>
      </c>
      <c r="K338" s="4">
        <f t="shared" ca="1" si="26"/>
        <v>0</v>
      </c>
      <c r="L338" s="73">
        <f t="shared" ca="1" si="25"/>
        <v>3</v>
      </c>
      <c r="M338" s="6">
        <f t="shared" si="27"/>
        <v>1</v>
      </c>
      <c r="N338">
        <v>3</v>
      </c>
    </row>
    <row r="339" spans="1:14">
      <c r="A339" s="29"/>
      <c r="B339" s="13" t="s">
        <v>419</v>
      </c>
      <c r="C339" s="6">
        <v>3</v>
      </c>
      <c r="D339" s="5"/>
      <c r="F339" s="14"/>
      <c r="I339" s="13" t="s">
        <v>419</v>
      </c>
      <c r="J339" s="14">
        <f t="shared" ca="1" si="28"/>
        <v>3</v>
      </c>
      <c r="K339" s="4">
        <f t="shared" ca="1" si="26"/>
        <v>0</v>
      </c>
      <c r="L339" s="73">
        <f t="shared" ca="1" si="25"/>
        <v>3</v>
      </c>
      <c r="M339" s="6">
        <f t="shared" si="27"/>
        <v>1</v>
      </c>
      <c r="N339">
        <v>3</v>
      </c>
    </row>
    <row r="340" spans="1:14">
      <c r="A340" s="29"/>
      <c r="B340" s="13" t="s">
        <v>176</v>
      </c>
      <c r="C340" s="6">
        <v>0</v>
      </c>
      <c r="D340" s="5"/>
      <c r="E340" s="7"/>
      <c r="F340" s="14"/>
      <c r="I340" s="13" t="s">
        <v>176</v>
      </c>
      <c r="J340" s="14">
        <f t="shared" ca="1" si="28"/>
        <v>0</v>
      </c>
      <c r="K340" s="4">
        <f t="shared" ca="1" si="26"/>
        <v>0</v>
      </c>
      <c r="L340" s="73">
        <f t="shared" ca="1" si="25"/>
        <v>0</v>
      </c>
      <c r="M340" s="6">
        <f t="shared" si="27"/>
        <v>1</v>
      </c>
      <c r="N340">
        <v>0</v>
      </c>
    </row>
    <row r="341" spans="1:14">
      <c r="A341" s="29"/>
      <c r="B341" s="13" t="s">
        <v>177</v>
      </c>
      <c r="C341" s="6">
        <v>6</v>
      </c>
      <c r="D341" s="5"/>
      <c r="F341" s="14"/>
      <c r="I341" s="13" t="s">
        <v>177</v>
      </c>
      <c r="J341" s="14">
        <f t="shared" ca="1" si="28"/>
        <v>6</v>
      </c>
      <c r="K341" s="4">
        <f t="shared" ca="1" si="26"/>
        <v>2</v>
      </c>
      <c r="L341" s="73">
        <f t="shared" ca="1" si="25"/>
        <v>4</v>
      </c>
      <c r="M341" s="6">
        <f t="shared" si="27"/>
        <v>1</v>
      </c>
      <c r="N341">
        <v>6</v>
      </c>
    </row>
    <row r="342" spans="1:14">
      <c r="A342" s="29"/>
      <c r="B342" s="13" t="s">
        <v>178</v>
      </c>
      <c r="C342" s="6">
        <v>0</v>
      </c>
      <c r="D342" s="5"/>
      <c r="E342" s="7"/>
      <c r="F342" s="14"/>
      <c r="I342" s="13" t="s">
        <v>178</v>
      </c>
      <c r="J342" s="14">
        <f t="shared" ca="1" si="28"/>
        <v>0</v>
      </c>
      <c r="K342" s="4">
        <f t="shared" ca="1" si="26"/>
        <v>0</v>
      </c>
      <c r="L342" s="73">
        <f t="shared" ca="1" si="25"/>
        <v>0</v>
      </c>
      <c r="M342" s="6">
        <f t="shared" si="27"/>
        <v>1</v>
      </c>
      <c r="N342">
        <v>0</v>
      </c>
    </row>
    <row r="343" spans="1:14">
      <c r="A343" s="29"/>
      <c r="B343" s="13" t="s">
        <v>420</v>
      </c>
      <c r="C343" s="6">
        <v>1</v>
      </c>
      <c r="D343" s="5"/>
      <c r="F343" s="14"/>
      <c r="I343" s="13" t="s">
        <v>420</v>
      </c>
      <c r="J343" s="14">
        <f t="shared" ca="1" si="28"/>
        <v>1</v>
      </c>
      <c r="K343" s="4">
        <f t="shared" ca="1" si="26"/>
        <v>0</v>
      </c>
      <c r="L343" s="73">
        <f t="shared" ca="1" si="25"/>
        <v>1</v>
      </c>
      <c r="M343" s="6">
        <f t="shared" si="27"/>
        <v>1</v>
      </c>
      <c r="N343">
        <v>1</v>
      </c>
    </row>
    <row r="344" spans="1:14">
      <c r="A344" s="29"/>
      <c r="B344" s="13" t="s">
        <v>179</v>
      </c>
      <c r="C344" s="6">
        <v>0</v>
      </c>
      <c r="D344" s="5"/>
      <c r="E344" s="7"/>
      <c r="I344" s="13" t="s">
        <v>179</v>
      </c>
      <c r="J344" s="14">
        <f t="shared" ca="1" si="28"/>
        <v>0</v>
      </c>
      <c r="K344" s="4">
        <f t="shared" ca="1" si="26"/>
        <v>0</v>
      </c>
      <c r="L344" s="73">
        <f t="shared" ca="1" si="25"/>
        <v>0</v>
      </c>
      <c r="M344" s="6">
        <f t="shared" si="27"/>
        <v>1</v>
      </c>
      <c r="N344">
        <v>0</v>
      </c>
    </row>
    <row r="345" spans="1:14">
      <c r="A345" s="29"/>
      <c r="B345" s="13" t="s">
        <v>180</v>
      </c>
      <c r="C345" s="6">
        <v>1</v>
      </c>
      <c r="D345" s="5"/>
      <c r="F345" s="14"/>
      <c r="I345" s="13" t="s">
        <v>180</v>
      </c>
      <c r="J345" s="14">
        <f t="shared" ca="1" si="28"/>
        <v>1</v>
      </c>
      <c r="K345" s="4">
        <f t="shared" ca="1" si="26"/>
        <v>0</v>
      </c>
      <c r="L345" s="73">
        <f t="shared" ca="1" si="25"/>
        <v>1</v>
      </c>
      <c r="M345" s="6">
        <f t="shared" si="27"/>
        <v>1</v>
      </c>
      <c r="N345">
        <v>1</v>
      </c>
    </row>
    <row r="346" spans="1:14">
      <c r="A346" s="29"/>
      <c r="B346" s="13" t="s">
        <v>181</v>
      </c>
      <c r="C346" s="6">
        <v>0</v>
      </c>
      <c r="D346" s="5"/>
      <c r="F346" s="14"/>
      <c r="I346" s="13" t="s">
        <v>181</v>
      </c>
      <c r="J346" s="14">
        <f t="shared" ca="1" si="28"/>
        <v>0</v>
      </c>
      <c r="K346" s="4">
        <f t="shared" ca="1" si="26"/>
        <v>0</v>
      </c>
      <c r="L346" s="73">
        <f t="shared" ca="1" si="25"/>
        <v>0</v>
      </c>
      <c r="M346" s="6">
        <f t="shared" si="27"/>
        <v>1</v>
      </c>
      <c r="N346">
        <v>0</v>
      </c>
    </row>
    <row r="347" spans="1:14">
      <c r="B347" s="13" t="s">
        <v>421</v>
      </c>
      <c r="C347" s="6">
        <v>0</v>
      </c>
      <c r="D347" s="5"/>
      <c r="F347" s="14"/>
      <c r="I347" s="13" t="s">
        <v>421</v>
      </c>
      <c r="J347" s="14">
        <f t="shared" ca="1" si="28"/>
        <v>0</v>
      </c>
      <c r="K347" s="4">
        <f t="shared" ca="1" si="26"/>
        <v>0</v>
      </c>
      <c r="L347" s="73">
        <f t="shared" ca="1" si="25"/>
        <v>0</v>
      </c>
      <c r="M347" s="6">
        <f t="shared" si="27"/>
        <v>1</v>
      </c>
      <c r="N347">
        <v>0</v>
      </c>
    </row>
    <row r="348" spans="1:14">
      <c r="B348" s="13" t="s">
        <v>182</v>
      </c>
      <c r="C348" s="6">
        <v>0</v>
      </c>
      <c r="D348" s="5"/>
      <c r="F348" s="14"/>
      <c r="I348" s="13" t="s">
        <v>182</v>
      </c>
      <c r="J348" s="14">
        <f t="shared" ca="1" si="28"/>
        <v>0</v>
      </c>
      <c r="K348" s="4">
        <f t="shared" ca="1" si="26"/>
        <v>0</v>
      </c>
      <c r="L348" s="73">
        <f t="shared" ca="1" si="25"/>
        <v>0</v>
      </c>
      <c r="M348" s="6">
        <f t="shared" si="27"/>
        <v>1</v>
      </c>
      <c r="N348">
        <v>0</v>
      </c>
    </row>
    <row r="349" spans="1:14">
      <c r="B349" s="13" t="s">
        <v>183</v>
      </c>
      <c r="C349" s="6">
        <v>0</v>
      </c>
      <c r="D349" s="5"/>
      <c r="F349" s="14"/>
      <c r="I349" s="13" t="s">
        <v>183</v>
      </c>
      <c r="J349" s="14">
        <f t="shared" ca="1" si="28"/>
        <v>0</v>
      </c>
      <c r="K349" s="4">
        <f t="shared" ca="1" si="26"/>
        <v>0</v>
      </c>
      <c r="L349" s="73">
        <f t="shared" ca="1" si="25"/>
        <v>0</v>
      </c>
      <c r="M349" s="6">
        <f t="shared" si="27"/>
        <v>1</v>
      </c>
      <c r="N349">
        <v>0</v>
      </c>
    </row>
    <row r="350" spans="1:14">
      <c r="B350" s="13" t="s">
        <v>184</v>
      </c>
      <c r="C350" s="6">
        <v>3</v>
      </c>
      <c r="D350" s="5"/>
      <c r="F350" s="14"/>
      <c r="I350" s="13" t="s">
        <v>184</v>
      </c>
      <c r="J350" s="14">
        <f t="shared" ca="1" si="28"/>
        <v>3</v>
      </c>
      <c r="K350" s="4">
        <f t="shared" ca="1" si="26"/>
        <v>0</v>
      </c>
      <c r="L350" s="73">
        <f t="shared" ca="1" si="25"/>
        <v>3</v>
      </c>
      <c r="M350" s="6">
        <f t="shared" si="27"/>
        <v>1</v>
      </c>
      <c r="N350">
        <v>3</v>
      </c>
    </row>
    <row r="351" spans="1:14">
      <c r="B351" s="13" t="s">
        <v>185</v>
      </c>
      <c r="C351" s="6">
        <v>0</v>
      </c>
      <c r="D351" s="5"/>
      <c r="F351" s="14"/>
      <c r="I351" s="13" t="s">
        <v>185</v>
      </c>
      <c r="J351" s="14">
        <f t="shared" ca="1" si="28"/>
        <v>0</v>
      </c>
      <c r="K351" s="4">
        <f t="shared" ca="1" si="26"/>
        <v>0</v>
      </c>
      <c r="L351" s="73">
        <f t="shared" ca="1" si="25"/>
        <v>0</v>
      </c>
      <c r="M351" s="6">
        <f t="shared" si="27"/>
        <v>1</v>
      </c>
      <c r="N351">
        <v>0</v>
      </c>
    </row>
    <row r="352" spans="1:14">
      <c r="B352" s="13" t="s">
        <v>186</v>
      </c>
      <c r="C352" s="6">
        <v>0</v>
      </c>
      <c r="D352" s="5"/>
      <c r="E352" s="7"/>
      <c r="F352" s="14"/>
      <c r="I352" s="13" t="s">
        <v>186</v>
      </c>
      <c r="J352" s="14">
        <f t="shared" ca="1" si="28"/>
        <v>0</v>
      </c>
      <c r="K352" s="4">
        <f t="shared" ca="1" si="26"/>
        <v>0</v>
      </c>
      <c r="L352" s="73">
        <f t="shared" ca="1" si="25"/>
        <v>0</v>
      </c>
      <c r="M352" s="6">
        <f t="shared" si="27"/>
        <v>1</v>
      </c>
      <c r="N352">
        <v>0</v>
      </c>
    </row>
    <row r="353" spans="2:14">
      <c r="B353" s="13" t="s">
        <v>422</v>
      </c>
      <c r="C353" s="6">
        <v>0</v>
      </c>
      <c r="D353" s="5"/>
      <c r="F353" s="14"/>
      <c r="I353" s="13" t="s">
        <v>422</v>
      </c>
      <c r="J353" s="14">
        <f t="shared" ca="1" si="28"/>
        <v>0</v>
      </c>
      <c r="K353" s="4">
        <f t="shared" ca="1" si="26"/>
        <v>0</v>
      </c>
      <c r="L353" s="73">
        <f t="shared" ca="1" si="25"/>
        <v>0</v>
      </c>
      <c r="M353" s="6">
        <f t="shared" si="27"/>
        <v>1</v>
      </c>
      <c r="N353">
        <v>0</v>
      </c>
    </row>
    <row r="354" spans="2:14">
      <c r="B354" s="13" t="s">
        <v>423</v>
      </c>
      <c r="C354" s="6">
        <v>0</v>
      </c>
      <c r="D354" s="5"/>
      <c r="F354" s="14"/>
      <c r="I354" s="13" t="s">
        <v>423</v>
      </c>
      <c r="J354" s="14">
        <f t="shared" ca="1" si="28"/>
        <v>0</v>
      </c>
      <c r="K354" s="4">
        <f t="shared" ca="1" si="26"/>
        <v>0</v>
      </c>
      <c r="L354" s="73">
        <f t="shared" ca="1" si="25"/>
        <v>0</v>
      </c>
      <c r="M354" s="6">
        <f t="shared" si="27"/>
        <v>1</v>
      </c>
      <c r="N354">
        <v>0</v>
      </c>
    </row>
    <row r="355" spans="2:14">
      <c r="B355" s="13" t="s">
        <v>424</v>
      </c>
      <c r="C355" s="6">
        <v>0</v>
      </c>
      <c r="D355" s="5"/>
      <c r="F355" s="14"/>
      <c r="I355" s="13" t="s">
        <v>424</v>
      </c>
      <c r="J355" s="14">
        <f t="shared" ca="1" si="28"/>
        <v>0</v>
      </c>
      <c r="K355" s="4">
        <f t="shared" ca="1" si="26"/>
        <v>0</v>
      </c>
      <c r="L355" s="73">
        <f t="shared" ca="1" si="25"/>
        <v>0</v>
      </c>
      <c r="M355" s="6">
        <f t="shared" si="27"/>
        <v>1</v>
      </c>
      <c r="N355">
        <v>0</v>
      </c>
    </row>
    <row r="356" spans="2:14">
      <c r="B356" s="74" t="s">
        <v>425</v>
      </c>
      <c r="C356" s="6">
        <v>7</v>
      </c>
      <c r="D356" s="5"/>
      <c r="F356" s="14"/>
      <c r="I356" s="74" t="s">
        <v>425</v>
      </c>
      <c r="J356" s="14">
        <f t="shared" ca="1" si="28"/>
        <v>7</v>
      </c>
      <c r="K356" s="4">
        <f t="shared" ca="1" si="26"/>
        <v>0</v>
      </c>
      <c r="L356" s="73">
        <f t="shared" ca="1" si="25"/>
        <v>7</v>
      </c>
      <c r="M356" s="6">
        <f t="shared" si="27"/>
        <v>1</v>
      </c>
      <c r="N356">
        <v>7</v>
      </c>
    </row>
    <row r="357" spans="2:14">
      <c r="B357" s="13" t="s">
        <v>426</v>
      </c>
      <c r="C357" s="6">
        <v>1</v>
      </c>
      <c r="D357" s="5"/>
      <c r="E357" s="7"/>
      <c r="F357" s="14"/>
      <c r="I357" s="13" t="s">
        <v>426</v>
      </c>
      <c r="J357" s="14">
        <f t="shared" ca="1" si="28"/>
        <v>1</v>
      </c>
      <c r="K357" s="4">
        <f t="shared" ca="1" si="26"/>
        <v>0</v>
      </c>
      <c r="L357" s="73">
        <f t="shared" ca="1" si="25"/>
        <v>1</v>
      </c>
      <c r="M357" s="6">
        <f t="shared" si="27"/>
        <v>1</v>
      </c>
      <c r="N357">
        <v>1</v>
      </c>
    </row>
    <row r="358" spans="2:14">
      <c r="B358" s="13" t="s">
        <v>427</v>
      </c>
      <c r="C358" s="6">
        <v>0</v>
      </c>
      <c r="D358" s="5"/>
      <c r="E358" s="7"/>
      <c r="F358" s="14"/>
      <c r="I358" s="13" t="s">
        <v>427</v>
      </c>
      <c r="J358" s="14">
        <f t="shared" ca="1" si="28"/>
        <v>0</v>
      </c>
      <c r="K358" s="4">
        <f t="shared" ca="1" si="26"/>
        <v>0</v>
      </c>
      <c r="L358" s="73">
        <f t="shared" ca="1" si="25"/>
        <v>0</v>
      </c>
      <c r="M358" s="6">
        <f t="shared" si="27"/>
        <v>1</v>
      </c>
      <c r="N358">
        <v>0</v>
      </c>
    </row>
    <row r="359" spans="2:14">
      <c r="B359" s="13" t="s">
        <v>428</v>
      </c>
      <c r="C359" s="6">
        <v>0</v>
      </c>
      <c r="D359" s="5"/>
      <c r="F359" s="14"/>
      <c r="I359" s="13" t="s">
        <v>428</v>
      </c>
      <c r="J359" s="14">
        <f t="shared" ca="1" si="28"/>
        <v>0</v>
      </c>
      <c r="K359" s="4">
        <f t="shared" ca="1" si="26"/>
        <v>0</v>
      </c>
      <c r="L359" s="73">
        <f t="shared" ca="1" si="25"/>
        <v>0</v>
      </c>
      <c r="M359" s="6">
        <f t="shared" si="27"/>
        <v>1</v>
      </c>
      <c r="N359">
        <v>0</v>
      </c>
    </row>
    <row r="360" spans="2:14">
      <c r="B360" s="13" t="s">
        <v>429</v>
      </c>
      <c r="C360" s="6">
        <v>6</v>
      </c>
      <c r="D360" s="5"/>
      <c r="F360" s="14"/>
      <c r="I360" s="13" t="s">
        <v>429</v>
      </c>
      <c r="J360" s="14">
        <f t="shared" ca="1" si="28"/>
        <v>6</v>
      </c>
      <c r="K360" s="4">
        <f t="shared" ca="1" si="26"/>
        <v>0</v>
      </c>
      <c r="L360" s="73">
        <f t="shared" ca="1" si="25"/>
        <v>6</v>
      </c>
      <c r="M360" s="6">
        <f t="shared" si="27"/>
        <v>1</v>
      </c>
      <c r="N360">
        <v>6</v>
      </c>
    </row>
    <row r="361" spans="2:14">
      <c r="B361" s="13" t="s">
        <v>430</v>
      </c>
      <c r="C361" s="6">
        <v>3</v>
      </c>
      <c r="D361" s="5"/>
      <c r="F361" s="14"/>
      <c r="I361" s="13" t="s">
        <v>430</v>
      </c>
      <c r="J361" s="14">
        <f t="shared" ca="1" si="28"/>
        <v>3</v>
      </c>
      <c r="K361" s="4">
        <f t="shared" ca="1" si="26"/>
        <v>0</v>
      </c>
      <c r="L361" s="73">
        <f t="shared" ca="1" si="25"/>
        <v>3</v>
      </c>
      <c r="M361" s="6">
        <f t="shared" si="27"/>
        <v>1</v>
      </c>
      <c r="N361">
        <v>3</v>
      </c>
    </row>
    <row r="362" spans="2:14">
      <c r="B362" s="13" t="s">
        <v>431</v>
      </c>
      <c r="C362" s="6">
        <v>0</v>
      </c>
      <c r="D362" s="5"/>
      <c r="F362" s="14"/>
      <c r="I362" s="13" t="s">
        <v>431</v>
      </c>
      <c r="J362" s="14">
        <f t="shared" ca="1" si="28"/>
        <v>0</v>
      </c>
      <c r="K362" s="4">
        <f t="shared" ca="1" si="26"/>
        <v>0</v>
      </c>
      <c r="L362" s="73">
        <f t="shared" ca="1" si="25"/>
        <v>0</v>
      </c>
      <c r="M362" s="6">
        <f t="shared" si="27"/>
        <v>1</v>
      </c>
      <c r="N362">
        <v>0</v>
      </c>
    </row>
    <row r="363" spans="2:14">
      <c r="B363" s="13" t="s">
        <v>432</v>
      </c>
      <c r="C363" s="6">
        <v>0</v>
      </c>
      <c r="D363" s="5"/>
      <c r="E363" s="7"/>
      <c r="F363" s="14"/>
      <c r="I363" s="13" t="s">
        <v>432</v>
      </c>
      <c r="J363" s="14">
        <f t="shared" ca="1" si="28"/>
        <v>0</v>
      </c>
      <c r="K363" s="4">
        <f t="shared" ca="1" si="26"/>
        <v>0</v>
      </c>
      <c r="L363" s="73">
        <f t="shared" ca="1" si="25"/>
        <v>0</v>
      </c>
      <c r="M363" s="6">
        <f t="shared" si="27"/>
        <v>1</v>
      </c>
      <c r="N363">
        <v>0</v>
      </c>
    </row>
    <row r="364" spans="2:14">
      <c r="B364" s="13" t="s">
        <v>433</v>
      </c>
      <c r="C364" s="6">
        <v>0</v>
      </c>
      <c r="D364" s="5"/>
      <c r="F364" s="14"/>
      <c r="I364" s="13" t="s">
        <v>433</v>
      </c>
      <c r="J364" s="14">
        <f t="shared" ca="1" si="28"/>
        <v>0</v>
      </c>
      <c r="K364" s="4">
        <f t="shared" ca="1" si="26"/>
        <v>0</v>
      </c>
      <c r="L364" s="73">
        <f t="shared" ca="1" si="25"/>
        <v>0</v>
      </c>
      <c r="M364" s="6">
        <f t="shared" si="27"/>
        <v>1</v>
      </c>
      <c r="N364">
        <v>0</v>
      </c>
    </row>
    <row r="365" spans="2:14">
      <c r="B365" s="13" t="s">
        <v>435</v>
      </c>
      <c r="C365" s="6">
        <v>0</v>
      </c>
      <c r="D365" s="5"/>
      <c r="F365" s="14"/>
      <c r="I365" s="13" t="s">
        <v>435</v>
      </c>
      <c r="J365" s="14">
        <f t="shared" ca="1" si="28"/>
        <v>0</v>
      </c>
      <c r="K365" s="4">
        <f t="shared" ca="1" si="26"/>
        <v>0</v>
      </c>
      <c r="L365" s="73">
        <f t="shared" ca="1" si="25"/>
        <v>0</v>
      </c>
      <c r="M365" s="6">
        <f t="shared" si="27"/>
        <v>1</v>
      </c>
      <c r="N365">
        <v>0</v>
      </c>
    </row>
    <row r="366" spans="2:14">
      <c r="B366" s="13" t="s">
        <v>187</v>
      </c>
      <c r="C366" s="6">
        <v>0</v>
      </c>
      <c r="D366" s="5"/>
      <c r="F366" s="14"/>
      <c r="I366" s="13" t="s">
        <v>187</v>
      </c>
      <c r="J366" s="14">
        <f t="shared" ca="1" si="28"/>
        <v>0</v>
      </c>
      <c r="K366" s="4">
        <f t="shared" ca="1" si="26"/>
        <v>0</v>
      </c>
      <c r="L366" s="73">
        <f t="shared" ca="1" si="25"/>
        <v>0</v>
      </c>
      <c r="M366" s="6">
        <f t="shared" si="27"/>
        <v>1</v>
      </c>
      <c r="N366">
        <v>0</v>
      </c>
    </row>
    <row r="367" spans="2:14">
      <c r="B367" s="13" t="s">
        <v>188</v>
      </c>
      <c r="C367" s="6">
        <v>0</v>
      </c>
      <c r="D367" s="5"/>
      <c r="F367" s="14"/>
      <c r="I367" s="13" t="s">
        <v>188</v>
      </c>
      <c r="J367" s="14">
        <f t="shared" ca="1" si="28"/>
        <v>0</v>
      </c>
      <c r="K367" s="4">
        <f t="shared" ca="1" si="26"/>
        <v>0</v>
      </c>
      <c r="L367" s="73">
        <f t="shared" ca="1" si="25"/>
        <v>0</v>
      </c>
      <c r="M367" s="6">
        <f t="shared" si="27"/>
        <v>1</v>
      </c>
      <c r="N367">
        <v>0</v>
      </c>
    </row>
    <row r="368" spans="2:14">
      <c r="B368" s="13" t="s">
        <v>437</v>
      </c>
      <c r="C368" s="6">
        <v>0</v>
      </c>
      <c r="D368" s="5"/>
      <c r="F368" s="14"/>
      <c r="I368" s="13" t="s">
        <v>437</v>
      </c>
      <c r="J368" s="14">
        <f t="shared" ca="1" si="28"/>
        <v>0</v>
      </c>
      <c r="K368" s="4">
        <f t="shared" ca="1" si="26"/>
        <v>0</v>
      </c>
      <c r="L368" s="73">
        <f t="shared" ca="1" si="25"/>
        <v>0</v>
      </c>
      <c r="M368" s="6">
        <f t="shared" si="27"/>
        <v>1</v>
      </c>
      <c r="N368">
        <v>0</v>
      </c>
    </row>
    <row r="369" spans="1:14">
      <c r="B369" s="13" t="s">
        <v>438</v>
      </c>
      <c r="C369" s="6">
        <v>0</v>
      </c>
      <c r="D369" s="5"/>
      <c r="F369" s="14"/>
      <c r="I369" s="13" t="s">
        <v>438</v>
      </c>
      <c r="J369" s="14">
        <f t="shared" ca="1" si="28"/>
        <v>0</v>
      </c>
      <c r="K369" s="4">
        <f t="shared" ca="1" si="26"/>
        <v>0</v>
      </c>
      <c r="L369" s="73">
        <f t="shared" ca="1" si="25"/>
        <v>0</v>
      </c>
      <c r="M369" s="6">
        <f t="shared" si="27"/>
        <v>1</v>
      </c>
      <c r="N369">
        <v>0</v>
      </c>
    </row>
    <row r="370" spans="1:14">
      <c r="B370" s="13" t="s">
        <v>189</v>
      </c>
      <c r="C370" s="6">
        <v>0</v>
      </c>
      <c r="D370" s="5"/>
      <c r="F370" s="14"/>
      <c r="I370" s="13" t="s">
        <v>189</v>
      </c>
      <c r="J370" s="14">
        <f t="shared" ca="1" si="28"/>
        <v>0</v>
      </c>
      <c r="K370" s="4">
        <f t="shared" ca="1" si="26"/>
        <v>0</v>
      </c>
      <c r="L370" s="73">
        <f t="shared" ca="1" si="25"/>
        <v>0</v>
      </c>
      <c r="M370" s="6">
        <f t="shared" si="27"/>
        <v>1</v>
      </c>
      <c r="N370">
        <v>0</v>
      </c>
    </row>
    <row r="371" spans="1:14">
      <c r="B371" s="13" t="s">
        <v>190</v>
      </c>
      <c r="C371" s="6">
        <v>0</v>
      </c>
      <c r="D371" s="5"/>
      <c r="E371" s="7"/>
      <c r="F371" s="14"/>
      <c r="I371" s="13" t="s">
        <v>190</v>
      </c>
      <c r="J371" s="14">
        <f t="shared" ca="1" si="28"/>
        <v>0</v>
      </c>
      <c r="K371" s="4">
        <f t="shared" ca="1" si="26"/>
        <v>0</v>
      </c>
      <c r="L371" s="73">
        <f t="shared" ca="1" si="25"/>
        <v>0</v>
      </c>
      <c r="M371" s="6">
        <f t="shared" si="27"/>
        <v>1</v>
      </c>
      <c r="N371">
        <v>0</v>
      </c>
    </row>
    <row r="372" spans="1:14">
      <c r="B372" s="13" t="s">
        <v>440</v>
      </c>
      <c r="C372" s="6">
        <v>1</v>
      </c>
      <c r="D372" s="5"/>
      <c r="F372" s="14"/>
      <c r="I372" s="13" t="s">
        <v>440</v>
      </c>
      <c r="J372" s="14">
        <f t="shared" ca="1" si="28"/>
        <v>1</v>
      </c>
      <c r="K372" s="4">
        <f t="shared" ca="1" si="26"/>
        <v>0</v>
      </c>
      <c r="L372" s="73">
        <f t="shared" ca="1" si="25"/>
        <v>1</v>
      </c>
      <c r="M372" s="6">
        <f t="shared" si="27"/>
        <v>1</v>
      </c>
      <c r="N372">
        <v>1</v>
      </c>
    </row>
    <row r="373" spans="1:14">
      <c r="B373" s="13" t="s">
        <v>441</v>
      </c>
      <c r="C373" s="6">
        <v>0</v>
      </c>
      <c r="D373" s="5"/>
      <c r="F373" s="14"/>
      <c r="I373" s="13" t="s">
        <v>441</v>
      </c>
      <c r="J373" s="14">
        <f t="shared" ca="1" si="28"/>
        <v>0</v>
      </c>
      <c r="K373" s="4">
        <f t="shared" ca="1" si="26"/>
        <v>0</v>
      </c>
      <c r="L373" s="73">
        <f t="shared" ca="1" si="25"/>
        <v>0</v>
      </c>
      <c r="M373" s="6">
        <f t="shared" si="27"/>
        <v>1</v>
      </c>
      <c r="N373">
        <v>0</v>
      </c>
    </row>
    <row r="374" spans="1:14">
      <c r="B374" s="13" t="s">
        <v>191</v>
      </c>
      <c r="C374" s="6">
        <v>0</v>
      </c>
      <c r="D374" s="5"/>
      <c r="E374" s="7"/>
      <c r="F374" s="14"/>
      <c r="I374" s="13" t="s">
        <v>191</v>
      </c>
      <c r="J374" s="14">
        <f t="shared" ca="1" si="28"/>
        <v>0</v>
      </c>
      <c r="K374" s="4">
        <f t="shared" ca="1" si="26"/>
        <v>0</v>
      </c>
      <c r="L374" s="73">
        <f t="shared" ca="1" si="25"/>
        <v>0</v>
      </c>
      <c r="M374" s="6">
        <f t="shared" si="27"/>
        <v>1</v>
      </c>
      <c r="N374">
        <v>0</v>
      </c>
    </row>
    <row r="375" spans="1:14">
      <c r="B375" s="13" t="s">
        <v>192</v>
      </c>
      <c r="C375" s="6">
        <v>0</v>
      </c>
      <c r="D375" s="5"/>
      <c r="F375" s="14"/>
      <c r="I375" s="13" t="s">
        <v>192</v>
      </c>
      <c r="J375" s="14">
        <f t="shared" ca="1" si="28"/>
        <v>0</v>
      </c>
      <c r="K375" s="4">
        <f t="shared" ca="1" si="26"/>
        <v>0</v>
      </c>
      <c r="L375" s="73">
        <f t="shared" ref="L375:L441" ca="1" si="29">J375-K375</f>
        <v>0</v>
      </c>
      <c r="M375" s="6">
        <f t="shared" si="27"/>
        <v>1</v>
      </c>
      <c r="N375">
        <v>0</v>
      </c>
    </row>
    <row r="376" spans="1:14">
      <c r="B376" s="13" t="s">
        <v>698</v>
      </c>
      <c r="C376" s="6">
        <v>0</v>
      </c>
      <c r="D376" s="5"/>
      <c r="I376" s="13" t="s">
        <v>698</v>
      </c>
      <c r="J376" s="14">
        <f t="shared" ca="1" si="28"/>
        <v>0</v>
      </c>
      <c r="K376" s="4">
        <f t="shared" ca="1" si="26"/>
        <v>0</v>
      </c>
      <c r="L376" s="73">
        <f t="shared" ca="1" si="29"/>
        <v>0</v>
      </c>
      <c r="M376" s="6">
        <f t="shared" si="27"/>
        <v>1</v>
      </c>
      <c r="N376">
        <v>0</v>
      </c>
    </row>
    <row r="377" spans="1:14">
      <c r="B377" s="13" t="s">
        <v>193</v>
      </c>
      <c r="C377" s="6">
        <v>0</v>
      </c>
      <c r="D377" s="5"/>
      <c r="I377" s="13" t="s">
        <v>193</v>
      </c>
      <c r="J377" s="14">
        <f t="shared" ca="1" si="28"/>
        <v>0</v>
      </c>
      <c r="K377" s="4">
        <f t="shared" ca="1" si="26"/>
        <v>0</v>
      </c>
      <c r="L377" s="73">
        <f t="shared" ca="1" si="29"/>
        <v>0</v>
      </c>
      <c r="M377" s="6">
        <f t="shared" si="27"/>
        <v>1</v>
      </c>
      <c r="N377">
        <v>0</v>
      </c>
    </row>
    <row r="378" spans="1:14">
      <c r="B378" s="13" t="s">
        <v>443</v>
      </c>
      <c r="C378" s="6">
        <v>6</v>
      </c>
      <c r="D378" s="5"/>
      <c r="I378" s="13" t="s">
        <v>443</v>
      </c>
      <c r="J378" s="14">
        <f t="shared" ca="1" si="28"/>
        <v>6</v>
      </c>
      <c r="K378" s="4">
        <f t="shared" ca="1" si="26"/>
        <v>0</v>
      </c>
      <c r="L378" s="73">
        <f t="shared" ca="1" si="29"/>
        <v>6</v>
      </c>
      <c r="M378" s="6">
        <f t="shared" si="27"/>
        <v>1</v>
      </c>
      <c r="N378">
        <v>6</v>
      </c>
    </row>
    <row r="379" spans="1:14">
      <c r="A379" s="7"/>
      <c r="B379" s="13" t="s">
        <v>194</v>
      </c>
      <c r="C379" s="6">
        <v>0</v>
      </c>
      <c r="D379" s="5"/>
      <c r="F379" s="14"/>
      <c r="I379" s="13" t="s">
        <v>194</v>
      </c>
      <c r="J379" s="14">
        <f t="shared" ca="1" si="28"/>
        <v>0</v>
      </c>
      <c r="K379" s="4">
        <f t="shared" ca="1" si="26"/>
        <v>0</v>
      </c>
      <c r="L379" s="73">
        <f t="shared" ca="1" si="29"/>
        <v>0</v>
      </c>
      <c r="M379" s="6">
        <f t="shared" si="27"/>
        <v>1</v>
      </c>
      <c r="N379">
        <v>0</v>
      </c>
    </row>
    <row r="380" spans="1:14">
      <c r="B380" s="13" t="s">
        <v>69</v>
      </c>
      <c r="C380" s="6">
        <v>13</v>
      </c>
      <c r="D380" s="5"/>
      <c r="F380" s="14"/>
      <c r="I380" s="13" t="s">
        <v>69</v>
      </c>
      <c r="J380" s="14">
        <f t="shared" ca="1" si="28"/>
        <v>13</v>
      </c>
      <c r="K380" s="4">
        <f t="shared" ca="1" si="26"/>
        <v>0</v>
      </c>
      <c r="L380" s="73">
        <f t="shared" ca="1" si="29"/>
        <v>13</v>
      </c>
      <c r="M380" s="6">
        <f t="shared" si="27"/>
        <v>1</v>
      </c>
      <c r="N380">
        <v>13</v>
      </c>
    </row>
    <row r="381" spans="1:14">
      <c r="B381" s="13" t="s">
        <v>195</v>
      </c>
      <c r="C381" s="6">
        <v>18</v>
      </c>
      <c r="D381" s="5"/>
      <c r="E381" s="7"/>
      <c r="F381" s="14"/>
      <c r="I381" s="13" t="s">
        <v>195</v>
      </c>
      <c r="J381" s="14">
        <f t="shared" ca="1" si="28"/>
        <v>18</v>
      </c>
      <c r="K381" s="4">
        <f t="shared" ca="1" si="26"/>
        <v>0</v>
      </c>
      <c r="L381" s="73">
        <f t="shared" ca="1" si="29"/>
        <v>18</v>
      </c>
      <c r="M381" s="6">
        <f t="shared" si="27"/>
        <v>1</v>
      </c>
      <c r="N381">
        <v>18</v>
      </c>
    </row>
    <row r="382" spans="1:14">
      <c r="B382" s="13" t="s">
        <v>444</v>
      </c>
      <c r="C382" s="6">
        <v>0.5</v>
      </c>
      <c r="D382" s="5"/>
      <c r="I382" s="13" t="s">
        <v>444</v>
      </c>
      <c r="J382" s="14">
        <f t="shared" ca="1" si="28"/>
        <v>0.5</v>
      </c>
      <c r="K382" s="4">
        <f t="shared" ca="1" si="26"/>
        <v>0</v>
      </c>
      <c r="L382" s="73">
        <f t="shared" ca="1" si="29"/>
        <v>0.5</v>
      </c>
      <c r="M382" s="6">
        <f t="shared" si="27"/>
        <v>1</v>
      </c>
      <c r="N382">
        <v>0.5</v>
      </c>
    </row>
    <row r="383" spans="1:14">
      <c r="B383" s="13" t="s">
        <v>196</v>
      </c>
      <c r="C383" s="6">
        <v>0</v>
      </c>
      <c r="D383" s="5"/>
      <c r="I383" s="13" t="s">
        <v>196</v>
      </c>
      <c r="J383" s="14">
        <f t="shared" ca="1" si="28"/>
        <v>0</v>
      </c>
      <c r="K383" s="4">
        <f t="shared" ca="1" si="26"/>
        <v>0</v>
      </c>
      <c r="L383" s="73">
        <f t="shared" ca="1" si="29"/>
        <v>0</v>
      </c>
      <c r="M383" s="6">
        <f t="shared" si="27"/>
        <v>1</v>
      </c>
      <c r="N383">
        <v>0</v>
      </c>
    </row>
    <row r="384" spans="1:14">
      <c r="B384" s="13" t="s">
        <v>197</v>
      </c>
      <c r="C384" s="6">
        <v>2</v>
      </c>
      <c r="D384" s="5"/>
      <c r="E384" s="7"/>
      <c r="I384" s="13" t="s">
        <v>197</v>
      </c>
      <c r="J384" s="14">
        <f t="shared" ca="1" si="28"/>
        <v>2</v>
      </c>
      <c r="K384" s="4">
        <f t="shared" ca="1" si="26"/>
        <v>0.2</v>
      </c>
      <c r="L384" s="73">
        <f t="shared" ca="1" si="29"/>
        <v>1.8</v>
      </c>
      <c r="M384" s="6">
        <f t="shared" si="27"/>
        <v>1</v>
      </c>
      <c r="N384">
        <v>2</v>
      </c>
    </row>
    <row r="385" spans="1:17">
      <c r="B385" s="13" t="s">
        <v>445</v>
      </c>
      <c r="C385" s="6">
        <v>5</v>
      </c>
      <c r="D385" s="5"/>
      <c r="F385" s="39"/>
      <c r="I385" s="13" t="s">
        <v>445</v>
      </c>
      <c r="J385" s="14">
        <f t="shared" ca="1" si="28"/>
        <v>5</v>
      </c>
      <c r="K385" s="4">
        <f t="shared" ca="1" si="26"/>
        <v>0</v>
      </c>
      <c r="L385" s="73">
        <f t="shared" ca="1" si="29"/>
        <v>5</v>
      </c>
      <c r="M385" s="6">
        <f t="shared" si="27"/>
        <v>1</v>
      </c>
      <c r="N385">
        <v>0</v>
      </c>
    </row>
    <row r="386" spans="1:17">
      <c r="B386" s="13" t="s">
        <v>198</v>
      </c>
      <c r="C386" s="6">
        <v>2</v>
      </c>
      <c r="D386" s="5"/>
      <c r="F386" s="12"/>
      <c r="I386" s="13" t="s">
        <v>198</v>
      </c>
      <c r="J386" s="14">
        <f t="shared" ca="1" si="28"/>
        <v>2</v>
      </c>
      <c r="K386" s="4">
        <f t="shared" ref="K386:K449" ca="1" si="30">SUMIF(F:G,I386,G:G)</f>
        <v>0</v>
      </c>
      <c r="L386" s="73">
        <f t="shared" ca="1" si="29"/>
        <v>2</v>
      </c>
      <c r="M386" s="6">
        <f t="shared" si="27"/>
        <v>1</v>
      </c>
      <c r="N386">
        <v>0</v>
      </c>
    </row>
    <row r="387" spans="1:17">
      <c r="B387" s="13" t="s">
        <v>199</v>
      </c>
      <c r="C387" s="6">
        <v>1</v>
      </c>
      <c r="D387" s="5"/>
      <c r="I387" s="13" t="s">
        <v>199</v>
      </c>
      <c r="J387" s="14">
        <f t="shared" ca="1" si="28"/>
        <v>1</v>
      </c>
      <c r="K387" s="4">
        <f t="shared" ca="1" si="30"/>
        <v>0</v>
      </c>
      <c r="L387" s="73">
        <f t="shared" ca="1" si="29"/>
        <v>1</v>
      </c>
      <c r="M387" s="6">
        <f t="shared" si="27"/>
        <v>1</v>
      </c>
      <c r="N387">
        <v>0</v>
      </c>
    </row>
    <row r="388" spans="1:17">
      <c r="B388" s="13" t="s">
        <v>15</v>
      </c>
      <c r="C388" s="6">
        <v>1</v>
      </c>
      <c r="D388" s="5"/>
      <c r="I388" s="13" t="s">
        <v>15</v>
      </c>
      <c r="J388" s="14">
        <f t="shared" ca="1" si="28"/>
        <v>1</v>
      </c>
      <c r="K388" s="4">
        <f t="shared" ca="1" si="30"/>
        <v>0.4</v>
      </c>
      <c r="L388" s="73">
        <f t="shared" ca="1" si="29"/>
        <v>0.6</v>
      </c>
      <c r="M388" s="6">
        <f t="shared" si="27"/>
        <v>1</v>
      </c>
      <c r="N388">
        <v>0</v>
      </c>
    </row>
    <row r="389" spans="1:17">
      <c r="B389" s="13" t="s">
        <v>446</v>
      </c>
      <c r="C389" s="6">
        <v>6</v>
      </c>
      <c r="D389" s="5"/>
      <c r="I389" s="13" t="s">
        <v>446</v>
      </c>
      <c r="J389" s="14">
        <f t="shared" ca="1" si="28"/>
        <v>6</v>
      </c>
      <c r="K389" s="4">
        <f t="shared" ca="1" si="30"/>
        <v>0</v>
      </c>
      <c r="L389" s="73">
        <f t="shared" ca="1" si="29"/>
        <v>6</v>
      </c>
      <c r="M389" s="6">
        <f t="shared" ref="M389:M452" si="31">MATCH(I389,B389,0)</f>
        <v>1</v>
      </c>
      <c r="N389">
        <v>6</v>
      </c>
    </row>
    <row r="390" spans="1:17">
      <c r="B390" s="13" t="s">
        <v>200</v>
      </c>
      <c r="C390" s="6">
        <v>3</v>
      </c>
      <c r="D390" s="5"/>
      <c r="I390" s="13" t="s">
        <v>200</v>
      </c>
      <c r="J390" s="14">
        <f t="shared" ca="1" si="28"/>
        <v>3</v>
      </c>
      <c r="K390" s="4">
        <f t="shared" ca="1" si="30"/>
        <v>0</v>
      </c>
      <c r="L390" s="73">
        <f t="shared" ca="1" si="29"/>
        <v>3</v>
      </c>
      <c r="M390" s="6">
        <f t="shared" si="31"/>
        <v>1</v>
      </c>
      <c r="N390" s="2">
        <v>3</v>
      </c>
      <c r="O390" s="5"/>
      <c r="P390" s="2"/>
      <c r="Q390" s="2"/>
    </row>
    <row r="391" spans="1:17">
      <c r="B391" s="13" t="s">
        <v>201</v>
      </c>
      <c r="C391" s="6">
        <v>0</v>
      </c>
      <c r="D391" s="5"/>
      <c r="I391" s="13" t="s">
        <v>201</v>
      </c>
      <c r="J391" s="14">
        <f t="shared" ca="1" si="28"/>
        <v>0</v>
      </c>
      <c r="K391" s="4">
        <f t="shared" ca="1" si="30"/>
        <v>0</v>
      </c>
      <c r="L391" s="73">
        <f t="shared" ca="1" si="29"/>
        <v>0</v>
      </c>
      <c r="M391" s="6">
        <f t="shared" si="31"/>
        <v>1</v>
      </c>
      <c r="N391" s="2">
        <v>0</v>
      </c>
      <c r="O391" s="45"/>
      <c r="P391" s="5"/>
      <c r="Q391" s="2"/>
    </row>
    <row r="392" spans="1:17">
      <c r="B392" s="13" t="s">
        <v>202</v>
      </c>
      <c r="C392" s="6">
        <v>0</v>
      </c>
      <c r="D392" s="5"/>
      <c r="F392" s="12"/>
      <c r="I392" s="13" t="s">
        <v>202</v>
      </c>
      <c r="J392" s="14">
        <f t="shared" ca="1" si="28"/>
        <v>0</v>
      </c>
      <c r="K392" s="4">
        <f t="shared" ca="1" si="30"/>
        <v>0</v>
      </c>
      <c r="L392" s="73">
        <f t="shared" ca="1" si="29"/>
        <v>0</v>
      </c>
      <c r="M392" s="6">
        <f t="shared" si="31"/>
        <v>1</v>
      </c>
      <c r="N392" s="2">
        <v>0</v>
      </c>
      <c r="O392" s="45"/>
      <c r="P392" s="5"/>
      <c r="Q392" s="2"/>
    </row>
    <row r="393" spans="1:17">
      <c r="B393" s="13" t="s">
        <v>203</v>
      </c>
      <c r="C393" s="6">
        <v>0</v>
      </c>
      <c r="D393" s="5"/>
      <c r="F393" s="12"/>
      <c r="I393" s="13" t="s">
        <v>203</v>
      </c>
      <c r="J393" s="14">
        <f t="shared" ca="1" si="28"/>
        <v>0</v>
      </c>
      <c r="K393" s="4">
        <f t="shared" ca="1" si="30"/>
        <v>0</v>
      </c>
      <c r="L393" s="73">
        <f t="shared" ca="1" si="29"/>
        <v>0</v>
      </c>
      <c r="M393" s="6">
        <f t="shared" si="31"/>
        <v>1</v>
      </c>
      <c r="N393" s="2">
        <v>0</v>
      </c>
      <c r="O393" s="41"/>
      <c r="P393" s="5"/>
      <c r="Q393" s="2"/>
    </row>
    <row r="394" spans="1:17">
      <c r="B394" s="13" t="s">
        <v>204</v>
      </c>
      <c r="C394" s="6">
        <v>2</v>
      </c>
      <c r="D394" s="5"/>
      <c r="I394" s="13" t="s">
        <v>204</v>
      </c>
      <c r="J394" s="14">
        <f t="shared" ca="1" si="28"/>
        <v>2</v>
      </c>
      <c r="K394" s="4">
        <f t="shared" ca="1" si="30"/>
        <v>0.2</v>
      </c>
      <c r="L394" s="73">
        <f t="shared" ca="1" si="29"/>
        <v>1.8</v>
      </c>
      <c r="M394" s="6">
        <f t="shared" si="31"/>
        <v>1</v>
      </c>
      <c r="N394" s="2">
        <v>2</v>
      </c>
      <c r="O394" s="41"/>
      <c r="P394" s="5"/>
      <c r="Q394" s="2"/>
    </row>
    <row r="395" spans="1:17">
      <c r="B395" s="13" t="s">
        <v>448</v>
      </c>
      <c r="C395" s="6">
        <v>0</v>
      </c>
      <c r="D395" s="5"/>
      <c r="E395" s="7"/>
      <c r="F395" s="40"/>
      <c r="I395" s="13" t="s">
        <v>448</v>
      </c>
      <c r="J395" s="14">
        <f t="shared" ca="1" si="28"/>
        <v>0</v>
      </c>
      <c r="K395" s="4">
        <f t="shared" ca="1" si="30"/>
        <v>0</v>
      </c>
      <c r="L395" s="73">
        <f t="shared" ca="1" si="29"/>
        <v>0</v>
      </c>
      <c r="M395" s="6">
        <f t="shared" si="31"/>
        <v>1</v>
      </c>
      <c r="N395" s="2">
        <v>0</v>
      </c>
      <c r="O395" s="5"/>
      <c r="P395" s="5"/>
      <c r="Q395" s="2"/>
    </row>
    <row r="396" spans="1:17">
      <c r="B396" s="13" t="s">
        <v>449</v>
      </c>
      <c r="C396" s="6">
        <v>0</v>
      </c>
      <c r="D396" s="5"/>
      <c r="F396" s="14"/>
      <c r="I396" s="13" t="s">
        <v>449</v>
      </c>
      <c r="J396" s="14">
        <f t="shared" ref="J396:J459" ca="1" si="32">SUMIF(B:C,I396,C:C)</f>
        <v>0</v>
      </c>
      <c r="K396" s="4">
        <f t="shared" ca="1" si="30"/>
        <v>0</v>
      </c>
      <c r="L396" s="73">
        <f t="shared" ca="1" si="29"/>
        <v>0</v>
      </c>
      <c r="M396" s="6">
        <f t="shared" si="31"/>
        <v>1</v>
      </c>
      <c r="N396" s="2">
        <v>0</v>
      </c>
      <c r="O396" s="45"/>
      <c r="P396" s="5"/>
      <c r="Q396" s="2"/>
    </row>
    <row r="397" spans="1:17">
      <c r="A397" s="7"/>
      <c r="B397" s="13" t="s">
        <v>450</v>
      </c>
      <c r="C397" s="6">
        <v>3</v>
      </c>
      <c r="D397" s="5"/>
      <c r="F397" s="14"/>
      <c r="I397" s="13" t="s">
        <v>450</v>
      </c>
      <c r="J397" s="14">
        <f t="shared" ca="1" si="32"/>
        <v>3</v>
      </c>
      <c r="K397" s="4">
        <f t="shared" ca="1" si="30"/>
        <v>0</v>
      </c>
      <c r="L397" s="73">
        <f t="shared" ca="1" si="29"/>
        <v>3</v>
      </c>
      <c r="M397" s="6">
        <f t="shared" si="31"/>
        <v>1</v>
      </c>
      <c r="N397" s="2">
        <v>3</v>
      </c>
      <c r="O397" s="5"/>
      <c r="P397" s="2"/>
      <c r="Q397" s="2"/>
    </row>
    <row r="398" spans="1:17">
      <c r="B398" s="13" t="s">
        <v>205</v>
      </c>
      <c r="C398" s="6">
        <v>8</v>
      </c>
      <c r="D398" s="5"/>
      <c r="F398" s="14"/>
      <c r="I398" s="13" t="s">
        <v>205</v>
      </c>
      <c r="J398" s="14">
        <f t="shared" ca="1" si="32"/>
        <v>8</v>
      </c>
      <c r="K398" s="4">
        <f t="shared" ca="1" si="30"/>
        <v>0</v>
      </c>
      <c r="L398" s="73">
        <f t="shared" ca="1" si="29"/>
        <v>8</v>
      </c>
      <c r="M398" s="6">
        <f t="shared" si="31"/>
        <v>1</v>
      </c>
      <c r="N398">
        <v>8</v>
      </c>
    </row>
    <row r="399" spans="1:17">
      <c r="B399" s="13" t="s">
        <v>206</v>
      </c>
      <c r="C399" s="6">
        <v>4</v>
      </c>
      <c r="D399" s="5"/>
      <c r="F399" s="14"/>
      <c r="I399" s="13" t="s">
        <v>206</v>
      </c>
      <c r="J399" s="14">
        <f t="shared" ca="1" si="32"/>
        <v>4</v>
      </c>
      <c r="K399" s="4">
        <f t="shared" ca="1" si="30"/>
        <v>0</v>
      </c>
      <c r="L399" s="73">
        <f t="shared" ca="1" si="29"/>
        <v>4</v>
      </c>
      <c r="M399" s="6">
        <f t="shared" si="31"/>
        <v>1</v>
      </c>
      <c r="N399">
        <v>4</v>
      </c>
    </row>
    <row r="400" spans="1:17">
      <c r="B400" s="13" t="s">
        <v>207</v>
      </c>
      <c r="C400" s="6">
        <v>2</v>
      </c>
      <c r="D400" s="5"/>
      <c r="F400" s="14"/>
      <c r="I400" s="13" t="s">
        <v>207</v>
      </c>
      <c r="J400" s="14">
        <f t="shared" ca="1" si="32"/>
        <v>2</v>
      </c>
      <c r="K400" s="4">
        <f t="shared" ca="1" si="30"/>
        <v>0</v>
      </c>
      <c r="L400" s="73">
        <f t="shared" ca="1" si="29"/>
        <v>2</v>
      </c>
      <c r="M400" s="6">
        <f t="shared" si="31"/>
        <v>1</v>
      </c>
      <c r="N400">
        <v>2</v>
      </c>
    </row>
    <row r="401" spans="1:17">
      <c r="B401" s="13" t="s">
        <v>208</v>
      </c>
      <c r="C401" s="6">
        <v>0</v>
      </c>
      <c r="D401" s="5"/>
      <c r="F401" s="14"/>
      <c r="I401" s="13" t="s">
        <v>208</v>
      </c>
      <c r="J401" s="14">
        <f t="shared" ca="1" si="32"/>
        <v>0</v>
      </c>
      <c r="K401" s="4">
        <f t="shared" ca="1" si="30"/>
        <v>0</v>
      </c>
      <c r="L401" s="73">
        <f t="shared" ca="1" si="29"/>
        <v>0</v>
      </c>
      <c r="M401" s="6">
        <f t="shared" si="31"/>
        <v>1</v>
      </c>
      <c r="N401">
        <v>0</v>
      </c>
    </row>
    <row r="402" spans="1:17">
      <c r="B402" s="13" t="s">
        <v>209</v>
      </c>
      <c r="C402" s="6">
        <v>0</v>
      </c>
      <c r="D402" s="5"/>
      <c r="E402" s="7"/>
      <c r="F402" s="14"/>
      <c r="I402" s="13" t="s">
        <v>209</v>
      </c>
      <c r="J402" s="14">
        <f t="shared" ca="1" si="32"/>
        <v>0</v>
      </c>
      <c r="K402" s="4">
        <f t="shared" ca="1" si="30"/>
        <v>0</v>
      </c>
      <c r="L402" s="73">
        <f t="shared" ca="1" si="29"/>
        <v>0</v>
      </c>
      <c r="M402" s="6">
        <f t="shared" si="31"/>
        <v>1</v>
      </c>
      <c r="N402">
        <v>0.5</v>
      </c>
    </row>
    <row r="403" spans="1:17">
      <c r="B403" s="13" t="s">
        <v>210</v>
      </c>
      <c r="C403" s="6">
        <v>0</v>
      </c>
      <c r="D403" s="5"/>
      <c r="F403" s="14"/>
      <c r="I403" s="13" t="s">
        <v>210</v>
      </c>
      <c r="J403" s="14">
        <f t="shared" ca="1" si="32"/>
        <v>0</v>
      </c>
      <c r="K403" s="4">
        <f t="shared" ca="1" si="30"/>
        <v>0</v>
      </c>
      <c r="L403" s="73">
        <f t="shared" ca="1" si="29"/>
        <v>0</v>
      </c>
      <c r="M403" s="6">
        <f t="shared" si="31"/>
        <v>1</v>
      </c>
      <c r="N403">
        <v>-4</v>
      </c>
    </row>
    <row r="404" spans="1:17">
      <c r="B404" s="13" t="s">
        <v>451</v>
      </c>
      <c r="C404" s="6">
        <v>0</v>
      </c>
      <c r="D404" s="5"/>
      <c r="F404" s="14"/>
      <c r="I404" s="13" t="s">
        <v>451</v>
      </c>
      <c r="J404" s="14">
        <f t="shared" ca="1" si="32"/>
        <v>0</v>
      </c>
      <c r="K404" s="4">
        <f t="shared" ca="1" si="30"/>
        <v>0</v>
      </c>
      <c r="L404" s="73">
        <f t="shared" ca="1" si="29"/>
        <v>0</v>
      </c>
      <c r="M404" s="6">
        <f t="shared" si="31"/>
        <v>1</v>
      </c>
      <c r="N404">
        <v>0</v>
      </c>
    </row>
    <row r="405" spans="1:17">
      <c r="B405" s="13" t="s">
        <v>211</v>
      </c>
      <c r="C405" s="6">
        <v>12</v>
      </c>
      <c r="D405" s="5"/>
      <c r="F405" s="14"/>
      <c r="I405" s="13" t="s">
        <v>211</v>
      </c>
      <c r="J405" s="14">
        <f t="shared" ca="1" si="32"/>
        <v>12</v>
      </c>
      <c r="K405" s="4">
        <f t="shared" ca="1" si="30"/>
        <v>0</v>
      </c>
      <c r="L405" s="73">
        <f t="shared" ca="1" si="29"/>
        <v>12</v>
      </c>
      <c r="M405" s="6">
        <f t="shared" si="31"/>
        <v>1</v>
      </c>
      <c r="N405">
        <v>12</v>
      </c>
    </row>
    <row r="406" spans="1:17">
      <c r="B406" s="13" t="s">
        <v>452</v>
      </c>
      <c r="C406" s="6">
        <v>0</v>
      </c>
      <c r="D406" s="5"/>
      <c r="E406" s="7"/>
      <c r="F406" s="14"/>
      <c r="I406" s="13" t="s">
        <v>452</v>
      </c>
      <c r="J406" s="14">
        <f t="shared" ca="1" si="32"/>
        <v>0</v>
      </c>
      <c r="K406" s="4">
        <f t="shared" ca="1" si="30"/>
        <v>0</v>
      </c>
      <c r="L406" s="73">
        <f t="shared" ca="1" si="29"/>
        <v>0</v>
      </c>
      <c r="M406" s="6">
        <f t="shared" si="31"/>
        <v>1</v>
      </c>
      <c r="N406">
        <v>0</v>
      </c>
    </row>
    <row r="407" spans="1:17">
      <c r="B407" s="13" t="s">
        <v>212</v>
      </c>
      <c r="C407" s="6">
        <v>0</v>
      </c>
      <c r="D407" s="5"/>
      <c r="F407" s="14"/>
      <c r="I407" s="13" t="s">
        <v>212</v>
      </c>
      <c r="J407" s="14">
        <f t="shared" ca="1" si="32"/>
        <v>0</v>
      </c>
      <c r="K407" s="4">
        <f t="shared" ca="1" si="30"/>
        <v>0</v>
      </c>
      <c r="L407" s="73">
        <f t="shared" ca="1" si="29"/>
        <v>0</v>
      </c>
      <c r="M407" s="6">
        <f t="shared" si="31"/>
        <v>1</v>
      </c>
      <c r="N407">
        <v>0</v>
      </c>
    </row>
    <row r="408" spans="1:17">
      <c r="B408" s="13" t="s">
        <v>213</v>
      </c>
      <c r="C408" s="6">
        <v>0</v>
      </c>
      <c r="D408" s="5"/>
      <c r="F408" s="14"/>
      <c r="I408" s="13" t="s">
        <v>213</v>
      </c>
      <c r="J408" s="14">
        <f t="shared" ca="1" si="32"/>
        <v>0</v>
      </c>
      <c r="K408" s="4">
        <f t="shared" ca="1" si="30"/>
        <v>0</v>
      </c>
      <c r="L408" s="73">
        <f t="shared" ca="1" si="29"/>
        <v>0</v>
      </c>
      <c r="M408" s="6">
        <f t="shared" si="31"/>
        <v>1</v>
      </c>
      <c r="N408">
        <v>0</v>
      </c>
    </row>
    <row r="409" spans="1:17">
      <c r="B409" s="13" t="s">
        <v>453</v>
      </c>
      <c r="C409" s="6">
        <v>0</v>
      </c>
      <c r="D409" s="5"/>
      <c r="F409" s="14"/>
      <c r="I409" s="13" t="s">
        <v>453</v>
      </c>
      <c r="J409" s="14">
        <f t="shared" ca="1" si="32"/>
        <v>0</v>
      </c>
      <c r="K409" s="4">
        <f t="shared" ca="1" si="30"/>
        <v>0</v>
      </c>
      <c r="L409" s="73">
        <f t="shared" ca="1" si="29"/>
        <v>0</v>
      </c>
      <c r="M409" s="6">
        <f t="shared" si="31"/>
        <v>1</v>
      </c>
      <c r="N409">
        <v>0</v>
      </c>
    </row>
    <row r="410" spans="1:17">
      <c r="B410" s="13" t="s">
        <v>454</v>
      </c>
      <c r="C410" s="6">
        <v>0</v>
      </c>
      <c r="D410" s="5"/>
      <c r="F410" s="14"/>
      <c r="I410" s="13" t="s">
        <v>454</v>
      </c>
      <c r="J410" s="14">
        <f t="shared" ca="1" si="32"/>
        <v>0</v>
      </c>
      <c r="K410" s="4">
        <f t="shared" ca="1" si="30"/>
        <v>0</v>
      </c>
      <c r="L410" s="73">
        <f t="shared" ca="1" si="29"/>
        <v>0</v>
      </c>
      <c r="M410" s="6">
        <f t="shared" si="31"/>
        <v>1</v>
      </c>
      <c r="N410">
        <v>0</v>
      </c>
    </row>
    <row r="411" spans="1:17">
      <c r="B411" s="13" t="s">
        <v>455</v>
      </c>
      <c r="C411" s="6">
        <v>0</v>
      </c>
      <c r="D411" s="5"/>
      <c r="F411" s="14"/>
      <c r="I411" s="13" t="s">
        <v>455</v>
      </c>
      <c r="J411" s="14">
        <f t="shared" ca="1" si="32"/>
        <v>0</v>
      </c>
      <c r="K411" s="4">
        <f t="shared" ca="1" si="30"/>
        <v>0</v>
      </c>
      <c r="L411" s="73">
        <f t="shared" ca="1" si="29"/>
        <v>0</v>
      </c>
      <c r="M411" s="6">
        <f t="shared" si="31"/>
        <v>1</v>
      </c>
      <c r="N411" s="2">
        <v>0</v>
      </c>
      <c r="O411" s="5"/>
      <c r="P411" s="2"/>
      <c r="Q411" s="2"/>
    </row>
    <row r="412" spans="1:17">
      <c r="B412" s="13" t="s">
        <v>691</v>
      </c>
      <c r="C412" s="6">
        <v>0</v>
      </c>
      <c r="D412" s="5"/>
      <c r="F412" s="14"/>
      <c r="I412" s="13" t="s">
        <v>691</v>
      </c>
      <c r="J412" s="14">
        <f t="shared" ca="1" si="32"/>
        <v>0</v>
      </c>
      <c r="K412" s="4">
        <f t="shared" ca="1" si="30"/>
        <v>0</v>
      </c>
      <c r="L412" s="73">
        <f t="shared" ca="1" si="29"/>
        <v>0</v>
      </c>
      <c r="M412" s="6">
        <f t="shared" si="31"/>
        <v>1</v>
      </c>
      <c r="N412" s="2">
        <v>0</v>
      </c>
      <c r="O412" s="5"/>
      <c r="P412" s="5"/>
      <c r="Q412" s="2"/>
    </row>
    <row r="413" spans="1:17">
      <c r="A413" s="7"/>
      <c r="B413" s="13" t="s">
        <v>214</v>
      </c>
      <c r="C413" s="6">
        <v>0</v>
      </c>
      <c r="D413" s="5"/>
      <c r="F413" s="14"/>
      <c r="I413" s="13" t="s">
        <v>214</v>
      </c>
      <c r="J413" s="14">
        <f t="shared" ca="1" si="32"/>
        <v>0</v>
      </c>
      <c r="K413" s="4">
        <f t="shared" ca="1" si="30"/>
        <v>0</v>
      </c>
      <c r="L413" s="73">
        <f t="shared" ca="1" si="29"/>
        <v>0</v>
      </c>
      <c r="M413" s="6">
        <f t="shared" si="31"/>
        <v>1</v>
      </c>
      <c r="N413" s="2">
        <v>0</v>
      </c>
      <c r="O413" s="5"/>
      <c r="P413" s="2"/>
      <c r="Q413" s="2"/>
    </row>
    <row r="414" spans="1:17">
      <c r="B414" s="13" t="s">
        <v>215</v>
      </c>
      <c r="C414" s="6">
        <v>0</v>
      </c>
      <c r="D414" s="5"/>
      <c r="E414" s="7"/>
      <c r="F414" s="14"/>
      <c r="I414" s="13" t="s">
        <v>215</v>
      </c>
      <c r="J414" s="14">
        <f t="shared" ca="1" si="32"/>
        <v>0</v>
      </c>
      <c r="K414" s="4">
        <f t="shared" ca="1" si="30"/>
        <v>0</v>
      </c>
      <c r="L414" s="73">
        <f t="shared" ca="1" si="29"/>
        <v>0</v>
      </c>
      <c r="M414" s="6">
        <f t="shared" si="31"/>
        <v>1</v>
      </c>
      <c r="N414" s="2">
        <v>0</v>
      </c>
      <c r="O414" s="5"/>
      <c r="P414" s="2"/>
      <c r="Q414" s="2"/>
    </row>
    <row r="415" spans="1:17">
      <c r="A415" s="7"/>
      <c r="B415" s="13" t="s">
        <v>216</v>
      </c>
      <c r="C415" s="6">
        <v>4</v>
      </c>
      <c r="D415" s="5"/>
      <c r="E415" s="7"/>
      <c r="F415" s="14"/>
      <c r="I415" s="13" t="s">
        <v>216</v>
      </c>
      <c r="J415" s="14">
        <f t="shared" ca="1" si="32"/>
        <v>4</v>
      </c>
      <c r="K415" s="4">
        <f t="shared" ca="1" si="30"/>
        <v>0</v>
      </c>
      <c r="L415" s="73">
        <f t="shared" ca="1" si="29"/>
        <v>4</v>
      </c>
      <c r="M415" s="6">
        <f t="shared" si="31"/>
        <v>1</v>
      </c>
      <c r="N415">
        <v>4</v>
      </c>
    </row>
    <row r="416" spans="1:17">
      <c r="B416" s="13" t="s">
        <v>456</v>
      </c>
      <c r="C416" s="6">
        <v>0</v>
      </c>
      <c r="D416" s="5"/>
      <c r="E416" s="7"/>
      <c r="F416" s="14"/>
      <c r="I416" s="13" t="s">
        <v>456</v>
      </c>
      <c r="J416" s="14">
        <f t="shared" ca="1" si="32"/>
        <v>0</v>
      </c>
      <c r="K416" s="4">
        <f t="shared" ca="1" si="30"/>
        <v>0</v>
      </c>
      <c r="L416" s="73">
        <f t="shared" ca="1" si="29"/>
        <v>0</v>
      </c>
      <c r="M416" s="6">
        <f t="shared" si="31"/>
        <v>1</v>
      </c>
      <c r="N416">
        <v>0</v>
      </c>
    </row>
    <row r="417" spans="2:14">
      <c r="B417" s="4" t="s">
        <v>724</v>
      </c>
      <c r="C417" s="6">
        <v>0</v>
      </c>
      <c r="D417" s="5"/>
      <c r="E417" s="7"/>
      <c r="F417" s="14"/>
      <c r="I417" s="4" t="s">
        <v>724</v>
      </c>
      <c r="J417" s="14">
        <f t="shared" ca="1" si="32"/>
        <v>0</v>
      </c>
      <c r="K417" s="4">
        <f t="shared" ca="1" si="30"/>
        <v>0</v>
      </c>
      <c r="L417" s="73">
        <f t="shared" ca="1" si="29"/>
        <v>0</v>
      </c>
      <c r="M417" s="6">
        <f t="shared" si="31"/>
        <v>1</v>
      </c>
      <c r="N417">
        <v>0</v>
      </c>
    </row>
    <row r="418" spans="2:14">
      <c r="B418" s="13" t="s">
        <v>457</v>
      </c>
      <c r="C418" s="6">
        <v>10</v>
      </c>
      <c r="D418" s="5"/>
      <c r="E418" s="7"/>
      <c r="F418" s="14"/>
      <c r="I418" s="13" t="s">
        <v>457</v>
      </c>
      <c r="J418" s="14">
        <f t="shared" ca="1" si="32"/>
        <v>10</v>
      </c>
      <c r="K418" s="4">
        <f t="shared" ca="1" si="30"/>
        <v>0</v>
      </c>
      <c r="L418" s="73">
        <f t="shared" ref="L418:L421" ca="1" si="33">J418-K418</f>
        <v>10</v>
      </c>
      <c r="M418" s="6">
        <f t="shared" si="31"/>
        <v>1</v>
      </c>
      <c r="N418">
        <v>10</v>
      </c>
    </row>
    <row r="419" spans="2:14">
      <c r="B419" s="13" t="s">
        <v>458</v>
      </c>
      <c r="C419" s="6">
        <v>10</v>
      </c>
      <c r="D419" s="5"/>
      <c r="F419" s="14"/>
      <c r="I419" s="13" t="s">
        <v>458</v>
      </c>
      <c r="J419" s="14">
        <f t="shared" ca="1" si="32"/>
        <v>10</v>
      </c>
      <c r="K419" s="4">
        <f t="shared" ca="1" si="30"/>
        <v>0</v>
      </c>
      <c r="L419" s="73">
        <f t="shared" ca="1" si="33"/>
        <v>10</v>
      </c>
      <c r="M419" s="6">
        <f t="shared" si="31"/>
        <v>1</v>
      </c>
      <c r="N419">
        <v>10</v>
      </c>
    </row>
    <row r="420" spans="2:14">
      <c r="B420" s="13" t="s">
        <v>459</v>
      </c>
      <c r="C420" s="6">
        <v>0</v>
      </c>
      <c r="D420" s="5"/>
      <c r="F420" s="14"/>
      <c r="I420" s="13" t="s">
        <v>459</v>
      </c>
      <c r="J420" s="14">
        <f t="shared" ca="1" si="32"/>
        <v>0</v>
      </c>
      <c r="K420" s="4">
        <f t="shared" ca="1" si="30"/>
        <v>0</v>
      </c>
      <c r="L420" s="73">
        <f t="shared" ca="1" si="33"/>
        <v>0</v>
      </c>
      <c r="M420" s="6">
        <f t="shared" si="31"/>
        <v>1</v>
      </c>
      <c r="N420">
        <v>0</v>
      </c>
    </row>
    <row r="421" spans="2:14">
      <c r="B421" s="13" t="s">
        <v>765</v>
      </c>
      <c r="C421" s="6">
        <v>0</v>
      </c>
      <c r="D421" s="5"/>
      <c r="F421" s="14"/>
      <c r="I421" s="13" t="s">
        <v>765</v>
      </c>
      <c r="J421" s="14">
        <f t="shared" ca="1" si="32"/>
        <v>0</v>
      </c>
      <c r="K421" s="4">
        <f t="shared" ca="1" si="30"/>
        <v>0</v>
      </c>
      <c r="L421" s="73">
        <f t="shared" ca="1" si="33"/>
        <v>0</v>
      </c>
      <c r="M421" s="6">
        <f t="shared" si="31"/>
        <v>1</v>
      </c>
      <c r="N421">
        <v>0</v>
      </c>
    </row>
    <row r="422" spans="2:14">
      <c r="B422" s="13" t="s">
        <v>704</v>
      </c>
      <c r="C422" s="6">
        <v>0</v>
      </c>
      <c r="D422" s="5"/>
      <c r="F422" s="14"/>
      <c r="I422" s="13" t="s">
        <v>704</v>
      </c>
      <c r="J422" s="14">
        <f t="shared" ca="1" si="32"/>
        <v>0</v>
      </c>
      <c r="K422" s="4">
        <f t="shared" ca="1" si="30"/>
        <v>0</v>
      </c>
      <c r="L422" s="73">
        <f t="shared" ca="1" si="29"/>
        <v>0</v>
      </c>
      <c r="M422" s="6">
        <f t="shared" si="31"/>
        <v>1</v>
      </c>
      <c r="N422">
        <v>0</v>
      </c>
    </row>
    <row r="423" spans="2:14">
      <c r="B423" s="13" t="s">
        <v>217</v>
      </c>
      <c r="C423" s="6">
        <v>0</v>
      </c>
      <c r="D423" s="5"/>
      <c r="F423" s="14"/>
      <c r="I423" s="13" t="s">
        <v>217</v>
      </c>
      <c r="J423" s="14">
        <f t="shared" ca="1" si="32"/>
        <v>0</v>
      </c>
      <c r="K423" s="4">
        <f t="shared" ca="1" si="30"/>
        <v>0</v>
      </c>
      <c r="L423" s="73">
        <f t="shared" ca="1" si="29"/>
        <v>0</v>
      </c>
      <c r="M423" s="6">
        <f t="shared" si="31"/>
        <v>1</v>
      </c>
      <c r="N423">
        <v>0</v>
      </c>
    </row>
    <row r="424" spans="2:14">
      <c r="B424" s="13" t="s">
        <v>218</v>
      </c>
      <c r="C424" s="6">
        <v>0</v>
      </c>
      <c r="D424" s="5"/>
      <c r="F424" s="14"/>
      <c r="I424" s="13" t="s">
        <v>218</v>
      </c>
      <c r="J424" s="14">
        <f t="shared" ca="1" si="32"/>
        <v>0</v>
      </c>
      <c r="K424" s="4">
        <f t="shared" ca="1" si="30"/>
        <v>0</v>
      </c>
      <c r="L424" s="73">
        <f t="shared" ca="1" si="29"/>
        <v>0</v>
      </c>
      <c r="M424" s="6">
        <f t="shared" si="31"/>
        <v>1</v>
      </c>
      <c r="N424">
        <v>0</v>
      </c>
    </row>
    <row r="425" spans="2:14">
      <c r="B425" s="13" t="s">
        <v>766</v>
      </c>
      <c r="C425" s="6">
        <v>0</v>
      </c>
      <c r="D425" s="5"/>
      <c r="F425" s="14"/>
      <c r="I425" s="13" t="s">
        <v>766</v>
      </c>
      <c r="J425" s="14">
        <f t="shared" ca="1" si="32"/>
        <v>0</v>
      </c>
      <c r="K425" s="4">
        <f t="shared" ca="1" si="30"/>
        <v>0</v>
      </c>
      <c r="L425" s="73">
        <f t="shared" ca="1" si="29"/>
        <v>0</v>
      </c>
      <c r="M425" s="6">
        <f t="shared" si="31"/>
        <v>1</v>
      </c>
      <c r="N425">
        <v>0</v>
      </c>
    </row>
    <row r="426" spans="2:14">
      <c r="B426" s="13" t="s">
        <v>701</v>
      </c>
      <c r="C426" s="6">
        <v>0</v>
      </c>
      <c r="D426" s="5"/>
      <c r="F426" s="14"/>
      <c r="I426" s="13" t="s">
        <v>701</v>
      </c>
      <c r="J426" s="14">
        <f t="shared" ca="1" si="32"/>
        <v>0</v>
      </c>
      <c r="K426" s="4">
        <f t="shared" ca="1" si="30"/>
        <v>0</v>
      </c>
      <c r="L426" s="73">
        <f t="shared" ca="1" si="29"/>
        <v>0</v>
      </c>
      <c r="M426" s="6">
        <f t="shared" si="31"/>
        <v>1</v>
      </c>
      <c r="N426">
        <v>0</v>
      </c>
    </row>
    <row r="427" spans="2:14">
      <c r="B427" s="4" t="s">
        <v>725</v>
      </c>
      <c r="C427" s="6">
        <v>3</v>
      </c>
      <c r="D427" s="5"/>
      <c r="E427" s="7"/>
      <c r="F427" s="14"/>
      <c r="I427" s="4" t="s">
        <v>725</v>
      </c>
      <c r="J427" s="14">
        <f t="shared" ca="1" si="32"/>
        <v>3</v>
      </c>
      <c r="K427" s="4">
        <f t="shared" ca="1" si="30"/>
        <v>0</v>
      </c>
      <c r="L427" s="73">
        <f t="shared" ca="1" si="29"/>
        <v>3</v>
      </c>
      <c r="M427" s="6">
        <f t="shared" si="31"/>
        <v>1</v>
      </c>
      <c r="N427">
        <v>3</v>
      </c>
    </row>
    <row r="428" spans="2:14">
      <c r="B428" s="4" t="s">
        <v>726</v>
      </c>
      <c r="C428" s="6">
        <v>0</v>
      </c>
      <c r="D428" s="5"/>
      <c r="F428" s="14"/>
      <c r="I428" s="4" t="s">
        <v>726</v>
      </c>
      <c r="J428" s="14">
        <f t="shared" ca="1" si="32"/>
        <v>0</v>
      </c>
      <c r="K428" s="4">
        <f t="shared" ca="1" si="30"/>
        <v>0</v>
      </c>
      <c r="L428" s="73">
        <f t="shared" ca="1" si="29"/>
        <v>0</v>
      </c>
      <c r="M428" s="6">
        <f t="shared" si="31"/>
        <v>1</v>
      </c>
      <c r="N428">
        <v>0</v>
      </c>
    </row>
    <row r="429" spans="2:14">
      <c r="B429" s="4" t="s">
        <v>727</v>
      </c>
      <c r="C429" s="6">
        <v>0</v>
      </c>
      <c r="D429" s="5"/>
      <c r="F429" s="14"/>
      <c r="I429" s="4" t="s">
        <v>727</v>
      </c>
      <c r="J429" s="14">
        <f t="shared" ca="1" si="32"/>
        <v>0</v>
      </c>
      <c r="K429" s="4">
        <f t="shared" ca="1" si="30"/>
        <v>0</v>
      </c>
      <c r="L429" s="73">
        <f t="shared" ca="1" si="29"/>
        <v>0</v>
      </c>
      <c r="M429" s="6">
        <f t="shared" si="31"/>
        <v>1</v>
      </c>
      <c r="N429">
        <v>0</v>
      </c>
    </row>
    <row r="430" spans="2:14">
      <c r="B430" s="13" t="s">
        <v>460</v>
      </c>
      <c r="C430" s="6">
        <v>0</v>
      </c>
      <c r="D430" s="5"/>
      <c r="F430" s="14"/>
      <c r="I430" s="13" t="s">
        <v>460</v>
      </c>
      <c r="J430" s="14">
        <f t="shared" ca="1" si="32"/>
        <v>0</v>
      </c>
      <c r="K430" s="4">
        <f t="shared" ca="1" si="30"/>
        <v>0</v>
      </c>
      <c r="L430" s="73">
        <f t="shared" ca="1" si="29"/>
        <v>0</v>
      </c>
      <c r="M430" s="6">
        <f t="shared" si="31"/>
        <v>1</v>
      </c>
      <c r="N430">
        <v>0</v>
      </c>
    </row>
    <row r="431" spans="2:14">
      <c r="B431" s="4" t="s">
        <v>728</v>
      </c>
      <c r="C431" s="6">
        <v>0</v>
      </c>
      <c r="D431" s="5"/>
      <c r="F431" s="14"/>
      <c r="I431" s="4" t="s">
        <v>728</v>
      </c>
      <c r="J431" s="14">
        <f t="shared" ca="1" si="32"/>
        <v>0</v>
      </c>
      <c r="K431" s="4">
        <f t="shared" ca="1" si="30"/>
        <v>0</v>
      </c>
      <c r="L431" s="73">
        <f t="shared" ca="1" si="29"/>
        <v>0</v>
      </c>
      <c r="M431" s="6">
        <f t="shared" si="31"/>
        <v>1</v>
      </c>
      <c r="N431">
        <v>0</v>
      </c>
    </row>
    <row r="432" spans="2:14">
      <c r="B432" s="4" t="s">
        <v>729</v>
      </c>
      <c r="C432" s="6">
        <v>0</v>
      </c>
      <c r="D432" s="5"/>
      <c r="F432" s="14"/>
      <c r="I432" s="4" t="s">
        <v>729</v>
      </c>
      <c r="J432" s="14">
        <f t="shared" ca="1" si="32"/>
        <v>0</v>
      </c>
      <c r="K432" s="4">
        <f t="shared" ca="1" si="30"/>
        <v>0</v>
      </c>
      <c r="L432" s="73">
        <f t="shared" ca="1" si="29"/>
        <v>0</v>
      </c>
      <c r="M432" s="6">
        <f t="shared" si="31"/>
        <v>1</v>
      </c>
      <c r="N432">
        <v>0</v>
      </c>
    </row>
    <row r="433" spans="1:14">
      <c r="B433" s="13" t="s">
        <v>219</v>
      </c>
      <c r="C433" s="6">
        <v>0</v>
      </c>
      <c r="D433" s="5"/>
      <c r="F433" s="14"/>
      <c r="I433" s="13" t="s">
        <v>219</v>
      </c>
      <c r="J433" s="14">
        <f t="shared" ca="1" si="32"/>
        <v>0</v>
      </c>
      <c r="K433" s="4">
        <f t="shared" ca="1" si="30"/>
        <v>0</v>
      </c>
      <c r="L433" s="73">
        <f t="shared" ca="1" si="29"/>
        <v>0</v>
      </c>
      <c r="M433" s="6">
        <f t="shared" si="31"/>
        <v>1</v>
      </c>
      <c r="N433">
        <v>0</v>
      </c>
    </row>
    <row r="434" spans="1:14">
      <c r="B434" s="13" t="s">
        <v>220</v>
      </c>
      <c r="C434" s="6">
        <v>0</v>
      </c>
      <c r="D434" s="5"/>
      <c r="F434" s="14"/>
      <c r="I434" s="13" t="s">
        <v>220</v>
      </c>
      <c r="J434" s="14">
        <f t="shared" ca="1" si="32"/>
        <v>0</v>
      </c>
      <c r="K434" s="4">
        <f t="shared" ca="1" si="30"/>
        <v>0</v>
      </c>
      <c r="L434" s="73">
        <f t="shared" ca="1" si="29"/>
        <v>0</v>
      </c>
      <c r="M434" s="6">
        <f t="shared" si="31"/>
        <v>1</v>
      </c>
      <c r="N434">
        <v>0</v>
      </c>
    </row>
    <row r="435" spans="1:14">
      <c r="B435" s="13" t="s">
        <v>221</v>
      </c>
      <c r="C435" s="6">
        <v>0</v>
      </c>
      <c r="D435" s="5"/>
      <c r="F435" s="14"/>
      <c r="I435" s="13" t="s">
        <v>221</v>
      </c>
      <c r="J435" s="14">
        <f t="shared" ca="1" si="32"/>
        <v>0</v>
      </c>
      <c r="K435" s="4">
        <f t="shared" ca="1" si="30"/>
        <v>0</v>
      </c>
      <c r="L435" s="73">
        <f t="shared" ca="1" si="29"/>
        <v>0</v>
      </c>
      <c r="M435" s="6">
        <f t="shared" si="31"/>
        <v>1</v>
      </c>
      <c r="N435">
        <v>0</v>
      </c>
    </row>
    <row r="436" spans="1:14">
      <c r="B436" s="11" t="s">
        <v>730</v>
      </c>
      <c r="C436" s="6">
        <v>0</v>
      </c>
      <c r="D436" s="5"/>
      <c r="F436" s="14"/>
      <c r="I436" s="11" t="s">
        <v>730</v>
      </c>
      <c r="J436" s="14">
        <f t="shared" ca="1" si="32"/>
        <v>0</v>
      </c>
      <c r="K436" s="4">
        <f t="shared" ca="1" si="30"/>
        <v>0</v>
      </c>
      <c r="L436" s="73">
        <f t="shared" ca="1" si="29"/>
        <v>0</v>
      </c>
      <c r="M436" s="6">
        <f t="shared" si="31"/>
        <v>1</v>
      </c>
      <c r="N436">
        <v>0</v>
      </c>
    </row>
    <row r="437" spans="1:14">
      <c r="B437" s="13" t="s">
        <v>222</v>
      </c>
      <c r="C437" s="6">
        <v>2</v>
      </c>
      <c r="D437" s="5"/>
      <c r="E437" s="7"/>
      <c r="F437" s="14"/>
      <c r="I437" s="13" t="s">
        <v>222</v>
      </c>
      <c r="J437" s="14">
        <f t="shared" ca="1" si="32"/>
        <v>2</v>
      </c>
      <c r="K437" s="4">
        <f t="shared" ca="1" si="30"/>
        <v>0</v>
      </c>
      <c r="L437" s="73">
        <f t="shared" ca="1" si="29"/>
        <v>2</v>
      </c>
      <c r="M437" s="6">
        <f t="shared" si="31"/>
        <v>1</v>
      </c>
      <c r="N437">
        <v>2</v>
      </c>
    </row>
    <row r="438" spans="1:14">
      <c r="B438" s="4" t="s">
        <v>688</v>
      </c>
      <c r="C438" s="6">
        <v>0</v>
      </c>
      <c r="D438" s="5"/>
      <c r="F438" s="14"/>
      <c r="I438" s="4" t="s">
        <v>688</v>
      </c>
      <c r="J438" s="14">
        <f t="shared" ca="1" si="32"/>
        <v>0</v>
      </c>
      <c r="K438" s="4">
        <f t="shared" ca="1" si="30"/>
        <v>0</v>
      </c>
      <c r="L438" s="73">
        <f t="shared" ca="1" si="29"/>
        <v>0</v>
      </c>
      <c r="M438" s="6">
        <f t="shared" si="31"/>
        <v>1</v>
      </c>
      <c r="N438">
        <v>0</v>
      </c>
    </row>
    <row r="439" spans="1:14">
      <c r="B439" s="11" t="s">
        <v>689</v>
      </c>
      <c r="C439" s="6">
        <v>6</v>
      </c>
      <c r="D439" s="5"/>
      <c r="F439" s="14"/>
      <c r="I439" s="11" t="s">
        <v>689</v>
      </c>
      <c r="J439" s="14">
        <f t="shared" ca="1" si="32"/>
        <v>6</v>
      </c>
      <c r="K439" s="4">
        <f t="shared" ca="1" si="30"/>
        <v>0</v>
      </c>
      <c r="L439" s="73">
        <f t="shared" ca="1" si="29"/>
        <v>6</v>
      </c>
      <c r="M439" s="6">
        <f t="shared" si="31"/>
        <v>1</v>
      </c>
      <c r="N439">
        <v>6</v>
      </c>
    </row>
    <row r="440" spans="1:14">
      <c r="B440" s="13" t="s">
        <v>223</v>
      </c>
      <c r="C440" s="6">
        <v>0</v>
      </c>
      <c r="D440" s="5"/>
      <c r="F440" s="14"/>
      <c r="I440" s="13" t="s">
        <v>223</v>
      </c>
      <c r="J440" s="14">
        <f t="shared" ca="1" si="32"/>
        <v>0</v>
      </c>
      <c r="K440" s="4">
        <f t="shared" ca="1" si="30"/>
        <v>0</v>
      </c>
      <c r="L440" s="73">
        <f t="shared" ca="1" si="29"/>
        <v>0</v>
      </c>
      <c r="M440" s="6">
        <f t="shared" si="31"/>
        <v>1</v>
      </c>
      <c r="N440">
        <v>0</v>
      </c>
    </row>
    <row r="441" spans="1:14">
      <c r="B441" s="13" t="s">
        <v>224</v>
      </c>
      <c r="C441" s="6">
        <v>0</v>
      </c>
      <c r="D441" s="5"/>
      <c r="F441" s="14"/>
      <c r="I441" s="13" t="s">
        <v>224</v>
      </c>
      <c r="J441" s="14">
        <f t="shared" ca="1" si="32"/>
        <v>0</v>
      </c>
      <c r="K441" s="4">
        <f t="shared" ca="1" si="30"/>
        <v>0</v>
      </c>
      <c r="L441" s="73">
        <f t="shared" ca="1" si="29"/>
        <v>0</v>
      </c>
      <c r="M441" s="6">
        <f t="shared" si="31"/>
        <v>1</v>
      </c>
      <c r="N441">
        <v>-0.5</v>
      </c>
    </row>
    <row r="442" spans="1:14">
      <c r="B442" s="13" t="s">
        <v>225</v>
      </c>
      <c r="C442" s="6">
        <v>0</v>
      </c>
      <c r="D442" s="5"/>
      <c r="F442" s="14"/>
      <c r="I442" s="13" t="s">
        <v>225</v>
      </c>
      <c r="J442" s="14">
        <f t="shared" ca="1" si="32"/>
        <v>0</v>
      </c>
      <c r="K442" s="4">
        <f t="shared" ca="1" si="30"/>
        <v>0</v>
      </c>
      <c r="L442" s="73">
        <f t="shared" ref="L442:L505" ca="1" si="34">J442-K442</f>
        <v>0</v>
      </c>
      <c r="M442" s="6">
        <f t="shared" si="31"/>
        <v>1</v>
      </c>
      <c r="N442">
        <v>0</v>
      </c>
    </row>
    <row r="443" spans="1:14">
      <c r="B443" s="13" t="s">
        <v>226</v>
      </c>
      <c r="C443" s="6">
        <v>0</v>
      </c>
      <c r="D443" s="5"/>
      <c r="F443" s="14"/>
      <c r="I443" s="13" t="s">
        <v>226</v>
      </c>
      <c r="J443" s="14">
        <f t="shared" ca="1" si="32"/>
        <v>0</v>
      </c>
      <c r="K443" s="4">
        <f t="shared" ca="1" si="30"/>
        <v>0</v>
      </c>
      <c r="L443" s="73">
        <f t="shared" ca="1" si="34"/>
        <v>0</v>
      </c>
      <c r="M443" s="6">
        <f t="shared" si="31"/>
        <v>1</v>
      </c>
      <c r="N443">
        <v>0</v>
      </c>
    </row>
    <row r="444" spans="1:14">
      <c r="B444" s="13" t="s">
        <v>227</v>
      </c>
      <c r="C444" s="6">
        <v>0</v>
      </c>
      <c r="D444" s="5"/>
      <c r="F444" s="14"/>
      <c r="I444" s="13" t="s">
        <v>227</v>
      </c>
      <c r="J444" s="14">
        <f t="shared" ca="1" si="32"/>
        <v>0</v>
      </c>
      <c r="K444" s="4">
        <f t="shared" ca="1" si="30"/>
        <v>0</v>
      </c>
      <c r="L444" s="73">
        <f t="shared" ca="1" si="34"/>
        <v>0</v>
      </c>
      <c r="M444" s="6">
        <f t="shared" si="31"/>
        <v>1</v>
      </c>
      <c r="N444">
        <v>0</v>
      </c>
    </row>
    <row r="445" spans="1:14">
      <c r="B445" s="13" t="s">
        <v>61</v>
      </c>
      <c r="C445" s="6">
        <v>9</v>
      </c>
      <c r="D445" s="5"/>
      <c r="F445" s="14"/>
      <c r="I445" s="13" t="s">
        <v>61</v>
      </c>
      <c r="J445" s="14">
        <f t="shared" ca="1" si="32"/>
        <v>9</v>
      </c>
      <c r="K445" s="4">
        <f t="shared" ca="1" si="30"/>
        <v>0</v>
      </c>
      <c r="L445" s="73">
        <f t="shared" ca="1" si="34"/>
        <v>9</v>
      </c>
      <c r="M445" s="6">
        <f t="shared" si="31"/>
        <v>1</v>
      </c>
      <c r="N445">
        <v>9</v>
      </c>
    </row>
    <row r="446" spans="1:14">
      <c r="A446" s="7"/>
      <c r="B446" s="13" t="s">
        <v>228</v>
      </c>
      <c r="C446" s="6">
        <v>8</v>
      </c>
      <c r="D446" s="5"/>
      <c r="F446" s="14"/>
      <c r="I446" s="13" t="s">
        <v>228</v>
      </c>
      <c r="J446" s="14">
        <f t="shared" ca="1" si="32"/>
        <v>8</v>
      </c>
      <c r="K446" s="4">
        <f t="shared" ca="1" si="30"/>
        <v>0</v>
      </c>
      <c r="L446" s="73">
        <f t="shared" ca="1" si="34"/>
        <v>8</v>
      </c>
      <c r="M446" s="6">
        <f t="shared" si="31"/>
        <v>1</v>
      </c>
      <c r="N446">
        <v>8</v>
      </c>
    </row>
    <row r="447" spans="1:14">
      <c r="B447" s="13" t="s">
        <v>229</v>
      </c>
      <c r="C447" s="6">
        <v>0</v>
      </c>
      <c r="D447" s="5"/>
      <c r="F447" s="14"/>
      <c r="I447" s="13" t="s">
        <v>229</v>
      </c>
      <c r="J447" s="14">
        <f t="shared" ca="1" si="32"/>
        <v>0</v>
      </c>
      <c r="K447" s="4">
        <f t="shared" ca="1" si="30"/>
        <v>0</v>
      </c>
      <c r="L447" s="73">
        <f t="shared" ca="1" si="34"/>
        <v>0</v>
      </c>
      <c r="M447" s="6">
        <f t="shared" si="31"/>
        <v>1</v>
      </c>
      <c r="N447">
        <v>0</v>
      </c>
    </row>
    <row r="448" spans="1:14">
      <c r="B448" s="13" t="s">
        <v>62</v>
      </c>
      <c r="C448" s="6">
        <v>3</v>
      </c>
      <c r="D448" s="5"/>
      <c r="F448" s="14"/>
      <c r="I448" s="13" t="s">
        <v>62</v>
      </c>
      <c r="J448" s="14">
        <f t="shared" ca="1" si="32"/>
        <v>3</v>
      </c>
      <c r="K448" s="4">
        <f t="shared" ca="1" si="30"/>
        <v>0</v>
      </c>
      <c r="L448" s="73">
        <f t="shared" ca="1" si="34"/>
        <v>3</v>
      </c>
      <c r="M448" s="6">
        <f t="shared" si="31"/>
        <v>1</v>
      </c>
      <c r="N448">
        <v>3</v>
      </c>
    </row>
    <row r="449" spans="2:14">
      <c r="B449" s="13" t="s">
        <v>463</v>
      </c>
      <c r="C449" s="6">
        <v>0</v>
      </c>
      <c r="D449" s="5"/>
      <c r="F449" s="14"/>
      <c r="I449" s="13" t="s">
        <v>463</v>
      </c>
      <c r="J449" s="14">
        <f t="shared" ca="1" si="32"/>
        <v>0</v>
      </c>
      <c r="K449" s="4">
        <f t="shared" ca="1" si="30"/>
        <v>0</v>
      </c>
      <c r="L449" s="73">
        <f t="shared" ca="1" si="34"/>
        <v>0</v>
      </c>
      <c r="M449" s="6">
        <f t="shared" si="31"/>
        <v>1</v>
      </c>
      <c r="N449">
        <v>0</v>
      </c>
    </row>
    <row r="450" spans="2:14">
      <c r="B450" s="13" t="s">
        <v>464</v>
      </c>
      <c r="C450" s="6">
        <v>0</v>
      </c>
      <c r="D450" s="5"/>
      <c r="F450" s="14"/>
      <c r="I450" s="13" t="s">
        <v>464</v>
      </c>
      <c r="J450" s="14">
        <f t="shared" ca="1" si="32"/>
        <v>0</v>
      </c>
      <c r="K450" s="4">
        <f t="shared" ref="K450:K513" ca="1" si="35">SUMIF(F:G,I450,G:G)</f>
        <v>0</v>
      </c>
      <c r="L450" s="73">
        <f t="shared" ca="1" si="34"/>
        <v>0</v>
      </c>
      <c r="M450" s="6">
        <f t="shared" si="31"/>
        <v>1</v>
      </c>
      <c r="N450">
        <v>0</v>
      </c>
    </row>
    <row r="451" spans="2:14">
      <c r="B451" s="13" t="s">
        <v>465</v>
      </c>
      <c r="C451" s="6">
        <v>0</v>
      </c>
      <c r="D451" s="5"/>
      <c r="F451" s="14"/>
      <c r="I451" s="13" t="s">
        <v>465</v>
      </c>
      <c r="J451" s="14">
        <f t="shared" ca="1" si="32"/>
        <v>0</v>
      </c>
      <c r="K451" s="4">
        <f t="shared" ca="1" si="35"/>
        <v>0</v>
      </c>
      <c r="L451" s="73">
        <f t="shared" ca="1" si="34"/>
        <v>0</v>
      </c>
      <c r="M451" s="6">
        <f t="shared" si="31"/>
        <v>1</v>
      </c>
      <c r="N451">
        <v>0</v>
      </c>
    </row>
    <row r="452" spans="2:14">
      <c r="B452" s="4" t="s">
        <v>731</v>
      </c>
      <c r="C452" s="6">
        <v>0</v>
      </c>
      <c r="D452" s="5"/>
      <c r="F452" s="14"/>
      <c r="I452" s="4" t="s">
        <v>731</v>
      </c>
      <c r="J452" s="14">
        <f t="shared" ca="1" si="32"/>
        <v>0</v>
      </c>
      <c r="K452" s="4">
        <f t="shared" ca="1" si="35"/>
        <v>0</v>
      </c>
      <c r="L452" s="73">
        <f t="shared" ca="1" si="34"/>
        <v>0</v>
      </c>
      <c r="M452" s="6">
        <f t="shared" si="31"/>
        <v>1</v>
      </c>
      <c r="N452">
        <v>0</v>
      </c>
    </row>
    <row r="453" spans="2:14">
      <c r="B453" s="13" t="s">
        <v>230</v>
      </c>
      <c r="C453" s="6">
        <v>9</v>
      </c>
      <c r="D453" s="5"/>
      <c r="E453" s="7"/>
      <c r="F453" s="14"/>
      <c r="I453" s="13" t="s">
        <v>230</v>
      </c>
      <c r="J453" s="14">
        <f t="shared" ca="1" si="32"/>
        <v>9</v>
      </c>
      <c r="K453" s="4">
        <f t="shared" ca="1" si="35"/>
        <v>0</v>
      </c>
      <c r="L453" s="73">
        <f t="shared" ca="1" si="34"/>
        <v>9</v>
      </c>
      <c r="M453" s="6">
        <f t="shared" ref="M453:M516" si="36">MATCH(I453,B453,0)</f>
        <v>1</v>
      </c>
      <c r="N453">
        <v>9</v>
      </c>
    </row>
    <row r="454" spans="2:14">
      <c r="B454" s="13" t="s">
        <v>231</v>
      </c>
      <c r="C454" s="6">
        <v>5</v>
      </c>
      <c r="D454" s="5"/>
      <c r="F454" s="14"/>
      <c r="I454" s="13" t="s">
        <v>231</v>
      </c>
      <c r="J454" s="14">
        <f t="shared" ca="1" si="32"/>
        <v>5</v>
      </c>
      <c r="K454" s="4">
        <f t="shared" ca="1" si="35"/>
        <v>0</v>
      </c>
      <c r="L454" s="73">
        <f t="shared" ca="1" si="34"/>
        <v>5</v>
      </c>
      <c r="M454" s="6">
        <f t="shared" si="36"/>
        <v>1</v>
      </c>
      <c r="N454">
        <v>5</v>
      </c>
    </row>
    <row r="455" spans="2:14">
      <c r="B455" s="13" t="s">
        <v>232</v>
      </c>
      <c r="C455" s="6">
        <v>1</v>
      </c>
      <c r="D455" s="5"/>
      <c r="F455" s="14"/>
      <c r="I455" s="13" t="s">
        <v>232</v>
      </c>
      <c r="J455" s="14">
        <f t="shared" ca="1" si="32"/>
        <v>1</v>
      </c>
      <c r="K455" s="4">
        <f t="shared" ca="1" si="35"/>
        <v>0</v>
      </c>
      <c r="L455" s="73">
        <f t="shared" ca="1" si="34"/>
        <v>1</v>
      </c>
      <c r="M455" s="6">
        <f t="shared" si="36"/>
        <v>1</v>
      </c>
      <c r="N455">
        <v>1</v>
      </c>
    </row>
    <row r="456" spans="2:14">
      <c r="B456" s="13" t="s">
        <v>233</v>
      </c>
      <c r="C456" s="6">
        <v>17</v>
      </c>
      <c r="D456" s="5"/>
      <c r="F456" s="14"/>
      <c r="I456" s="13" t="s">
        <v>233</v>
      </c>
      <c r="J456" s="14">
        <f t="shared" ca="1" si="32"/>
        <v>17</v>
      </c>
      <c r="K456" s="4">
        <f t="shared" ca="1" si="35"/>
        <v>0</v>
      </c>
      <c r="L456" s="73">
        <f t="shared" ca="1" si="34"/>
        <v>17</v>
      </c>
      <c r="M456" s="6">
        <f t="shared" si="36"/>
        <v>1</v>
      </c>
      <c r="N456">
        <v>17</v>
      </c>
    </row>
    <row r="457" spans="2:14">
      <c r="B457" s="13" t="s">
        <v>234</v>
      </c>
      <c r="C457" s="6">
        <v>8</v>
      </c>
      <c r="D457" s="5"/>
      <c r="F457" s="14"/>
      <c r="I457" s="13" t="s">
        <v>234</v>
      </c>
      <c r="J457" s="14">
        <f t="shared" ca="1" si="32"/>
        <v>8</v>
      </c>
      <c r="K457" s="4">
        <f t="shared" ca="1" si="35"/>
        <v>0</v>
      </c>
      <c r="L457" s="73">
        <f t="shared" ca="1" si="34"/>
        <v>8</v>
      </c>
      <c r="M457" s="6">
        <f t="shared" si="36"/>
        <v>1</v>
      </c>
      <c r="N457">
        <v>8</v>
      </c>
    </row>
    <row r="458" spans="2:14">
      <c r="B458" s="13" t="s">
        <v>235</v>
      </c>
      <c r="C458" s="6">
        <v>4</v>
      </c>
      <c r="D458" s="5"/>
      <c r="F458" s="14"/>
      <c r="I458" s="13" t="s">
        <v>235</v>
      </c>
      <c r="J458" s="14">
        <f t="shared" ca="1" si="32"/>
        <v>4</v>
      </c>
      <c r="K458" s="4">
        <f t="shared" ca="1" si="35"/>
        <v>0</v>
      </c>
      <c r="L458" s="73">
        <f t="shared" ca="1" si="34"/>
        <v>4</v>
      </c>
      <c r="M458" s="6">
        <f t="shared" si="36"/>
        <v>1</v>
      </c>
      <c r="N458">
        <v>4</v>
      </c>
    </row>
    <row r="459" spans="2:14">
      <c r="B459" s="13" t="s">
        <v>236</v>
      </c>
      <c r="C459" s="6">
        <v>1</v>
      </c>
      <c r="D459" s="5"/>
      <c r="F459" s="14"/>
      <c r="I459" s="13" t="s">
        <v>236</v>
      </c>
      <c r="J459" s="14">
        <f t="shared" ca="1" si="32"/>
        <v>1</v>
      </c>
      <c r="K459" s="4">
        <f t="shared" ca="1" si="35"/>
        <v>0</v>
      </c>
      <c r="L459" s="73">
        <f t="shared" ca="1" si="34"/>
        <v>1</v>
      </c>
      <c r="M459" s="6">
        <f t="shared" si="36"/>
        <v>1</v>
      </c>
      <c r="N459">
        <v>1</v>
      </c>
    </row>
    <row r="460" spans="2:14">
      <c r="B460" s="13" t="s">
        <v>237</v>
      </c>
      <c r="C460" s="6">
        <v>1.5</v>
      </c>
      <c r="D460" s="5"/>
      <c r="F460" s="14"/>
      <c r="I460" s="13" t="s">
        <v>237</v>
      </c>
      <c r="J460" s="14">
        <f t="shared" ref="J460:J523" ca="1" si="37">SUMIF(B:C,I460,C:C)</f>
        <v>1.5</v>
      </c>
      <c r="K460" s="4">
        <f t="shared" ca="1" si="35"/>
        <v>0</v>
      </c>
      <c r="L460" s="73">
        <f t="shared" ca="1" si="34"/>
        <v>1.5</v>
      </c>
      <c r="M460" s="6">
        <f t="shared" si="36"/>
        <v>1</v>
      </c>
      <c r="N460">
        <v>1.5</v>
      </c>
    </row>
    <row r="461" spans="2:14">
      <c r="B461" s="13" t="s">
        <v>238</v>
      </c>
      <c r="C461" s="6">
        <v>3</v>
      </c>
      <c r="D461" s="5"/>
      <c r="F461" s="14"/>
      <c r="I461" s="13" t="s">
        <v>238</v>
      </c>
      <c r="J461" s="14">
        <f t="shared" ca="1" si="37"/>
        <v>3</v>
      </c>
      <c r="K461" s="4">
        <f t="shared" ca="1" si="35"/>
        <v>0</v>
      </c>
      <c r="L461" s="73">
        <f t="shared" ca="1" si="34"/>
        <v>3</v>
      </c>
      <c r="M461" s="6">
        <f t="shared" si="36"/>
        <v>1</v>
      </c>
      <c r="N461">
        <v>3</v>
      </c>
    </row>
    <row r="462" spans="2:14">
      <c r="B462" s="13" t="s">
        <v>466</v>
      </c>
      <c r="C462" s="6">
        <v>1</v>
      </c>
      <c r="D462" s="5"/>
      <c r="F462" s="14"/>
      <c r="I462" s="13" t="s">
        <v>466</v>
      </c>
      <c r="J462" s="14">
        <f t="shared" ca="1" si="37"/>
        <v>1</v>
      </c>
      <c r="K462" s="4">
        <f t="shared" ca="1" si="35"/>
        <v>0</v>
      </c>
      <c r="L462" s="73">
        <f t="shared" ca="1" si="34"/>
        <v>1</v>
      </c>
      <c r="M462" s="6">
        <f t="shared" si="36"/>
        <v>1</v>
      </c>
      <c r="N462">
        <v>1</v>
      </c>
    </row>
    <row r="463" spans="2:14">
      <c r="B463" s="13" t="s">
        <v>239</v>
      </c>
      <c r="C463" s="6">
        <v>10</v>
      </c>
      <c r="D463" s="5"/>
      <c r="E463" s="7"/>
      <c r="F463" s="14"/>
      <c r="I463" s="13" t="s">
        <v>239</v>
      </c>
      <c r="J463" s="14">
        <f t="shared" ca="1" si="37"/>
        <v>10</v>
      </c>
      <c r="K463" s="4">
        <f t="shared" ca="1" si="35"/>
        <v>0</v>
      </c>
      <c r="L463" s="73">
        <f t="shared" ca="1" si="34"/>
        <v>10</v>
      </c>
      <c r="M463" s="6">
        <f t="shared" si="36"/>
        <v>1</v>
      </c>
      <c r="N463">
        <v>10</v>
      </c>
    </row>
    <row r="464" spans="2:14">
      <c r="B464" s="13" t="s">
        <v>240</v>
      </c>
      <c r="C464" s="6">
        <v>0</v>
      </c>
      <c r="D464" s="5"/>
      <c r="F464" s="14"/>
      <c r="I464" s="13" t="s">
        <v>240</v>
      </c>
      <c r="J464" s="14">
        <f t="shared" ca="1" si="37"/>
        <v>0</v>
      </c>
      <c r="K464" s="4">
        <f t="shared" ca="1" si="35"/>
        <v>0</v>
      </c>
      <c r="L464" s="73">
        <f t="shared" ca="1" si="34"/>
        <v>0</v>
      </c>
      <c r="M464" s="6">
        <f t="shared" si="36"/>
        <v>1</v>
      </c>
      <c r="N464">
        <v>0</v>
      </c>
    </row>
    <row r="465" spans="2:14">
      <c r="B465" s="13" t="s">
        <v>241</v>
      </c>
      <c r="C465" s="6">
        <v>8</v>
      </c>
      <c r="D465" s="5"/>
      <c r="F465" s="14"/>
      <c r="I465" s="13" t="s">
        <v>241</v>
      </c>
      <c r="J465" s="14">
        <f t="shared" ca="1" si="37"/>
        <v>8</v>
      </c>
      <c r="K465" s="4">
        <f t="shared" ca="1" si="35"/>
        <v>0</v>
      </c>
      <c r="L465" s="73">
        <f t="shared" ca="1" si="34"/>
        <v>8</v>
      </c>
      <c r="M465" s="6">
        <f t="shared" si="36"/>
        <v>1</v>
      </c>
      <c r="N465">
        <v>8</v>
      </c>
    </row>
    <row r="466" spans="2:14">
      <c r="B466" s="13" t="s">
        <v>467</v>
      </c>
      <c r="C466" s="6">
        <v>0</v>
      </c>
      <c r="D466" s="5"/>
      <c r="F466" s="14"/>
      <c r="I466" s="13" t="s">
        <v>467</v>
      </c>
      <c r="J466" s="14">
        <f t="shared" ca="1" si="37"/>
        <v>0</v>
      </c>
      <c r="K466" s="4">
        <f t="shared" ca="1" si="35"/>
        <v>0</v>
      </c>
      <c r="L466" s="73">
        <f t="shared" ca="1" si="34"/>
        <v>0</v>
      </c>
      <c r="M466" s="6">
        <f t="shared" si="36"/>
        <v>1</v>
      </c>
      <c r="N466">
        <v>0</v>
      </c>
    </row>
    <row r="467" spans="2:14">
      <c r="B467" s="13" t="s">
        <v>468</v>
      </c>
      <c r="C467" s="6">
        <v>1</v>
      </c>
      <c r="D467" s="5"/>
      <c r="F467" s="14"/>
      <c r="I467" s="13" t="s">
        <v>468</v>
      </c>
      <c r="J467" s="14">
        <f t="shared" ca="1" si="37"/>
        <v>1</v>
      </c>
      <c r="K467" s="4">
        <f t="shared" ca="1" si="35"/>
        <v>0</v>
      </c>
      <c r="L467" s="73">
        <f t="shared" ca="1" si="34"/>
        <v>1</v>
      </c>
      <c r="M467" s="6">
        <f t="shared" si="36"/>
        <v>1</v>
      </c>
      <c r="N467">
        <v>1</v>
      </c>
    </row>
    <row r="468" spans="2:14">
      <c r="B468" s="13" t="s">
        <v>732</v>
      </c>
      <c r="C468" s="6">
        <v>0</v>
      </c>
      <c r="D468" s="5"/>
      <c r="E468" s="7"/>
      <c r="F468" s="14"/>
      <c r="I468" s="13" t="s">
        <v>732</v>
      </c>
      <c r="J468" s="14">
        <f t="shared" ca="1" si="37"/>
        <v>0</v>
      </c>
      <c r="K468" s="4">
        <f t="shared" ca="1" si="35"/>
        <v>0</v>
      </c>
      <c r="L468" s="73">
        <f t="shared" ca="1" si="34"/>
        <v>0</v>
      </c>
      <c r="M468" s="6">
        <f t="shared" si="36"/>
        <v>1</v>
      </c>
      <c r="N468">
        <v>0</v>
      </c>
    </row>
    <row r="469" spans="2:14">
      <c r="B469" s="13" t="s">
        <v>469</v>
      </c>
      <c r="C469" s="6">
        <v>1</v>
      </c>
      <c r="D469" s="5"/>
      <c r="F469" s="14"/>
      <c r="I469" s="13" t="s">
        <v>469</v>
      </c>
      <c r="J469" s="14">
        <f t="shared" ca="1" si="37"/>
        <v>1</v>
      </c>
      <c r="K469" s="4">
        <f t="shared" ca="1" si="35"/>
        <v>0</v>
      </c>
      <c r="L469" s="73">
        <f t="shared" ca="1" si="34"/>
        <v>1</v>
      </c>
      <c r="M469" s="6">
        <f t="shared" si="36"/>
        <v>1</v>
      </c>
      <c r="N469">
        <v>1</v>
      </c>
    </row>
    <row r="470" spans="2:14">
      <c r="B470" s="13" t="s">
        <v>470</v>
      </c>
      <c r="C470" s="6">
        <v>0</v>
      </c>
      <c r="D470" s="5"/>
      <c r="F470" s="14"/>
      <c r="I470" s="13" t="s">
        <v>470</v>
      </c>
      <c r="J470" s="14">
        <f t="shared" ca="1" si="37"/>
        <v>0</v>
      </c>
      <c r="K470" s="4">
        <f t="shared" ca="1" si="35"/>
        <v>0</v>
      </c>
      <c r="L470" s="73">
        <f t="shared" ca="1" si="34"/>
        <v>0</v>
      </c>
      <c r="M470" s="6">
        <f t="shared" si="36"/>
        <v>1</v>
      </c>
      <c r="N470">
        <v>0</v>
      </c>
    </row>
    <row r="471" spans="2:14">
      <c r="B471" s="13" t="s">
        <v>471</v>
      </c>
      <c r="C471" s="6">
        <v>4</v>
      </c>
      <c r="D471" s="5"/>
      <c r="F471" s="14"/>
      <c r="I471" s="13" t="s">
        <v>471</v>
      </c>
      <c r="J471" s="14">
        <f t="shared" ca="1" si="37"/>
        <v>4</v>
      </c>
      <c r="K471" s="4">
        <f t="shared" ca="1" si="35"/>
        <v>0</v>
      </c>
      <c r="L471" s="73">
        <f t="shared" ca="1" si="34"/>
        <v>4</v>
      </c>
      <c r="M471" s="6">
        <f t="shared" si="36"/>
        <v>1</v>
      </c>
      <c r="N471">
        <v>4</v>
      </c>
    </row>
    <row r="472" spans="2:14">
      <c r="B472" s="13" t="s">
        <v>472</v>
      </c>
      <c r="C472" s="6">
        <v>10</v>
      </c>
      <c r="D472" s="5"/>
      <c r="F472" s="14"/>
      <c r="I472" s="13" t="s">
        <v>472</v>
      </c>
      <c r="J472" s="14">
        <f t="shared" ca="1" si="37"/>
        <v>10</v>
      </c>
      <c r="K472" s="4">
        <f t="shared" ca="1" si="35"/>
        <v>0</v>
      </c>
      <c r="L472" s="73">
        <f t="shared" ca="1" si="34"/>
        <v>10</v>
      </c>
      <c r="M472" s="6">
        <f t="shared" si="36"/>
        <v>1</v>
      </c>
      <c r="N472">
        <v>10</v>
      </c>
    </row>
    <row r="473" spans="2:14">
      <c r="B473" s="13" t="s">
        <v>473</v>
      </c>
      <c r="C473" s="6">
        <v>3</v>
      </c>
      <c r="D473" s="5"/>
      <c r="F473" s="14"/>
      <c r="I473" s="13" t="s">
        <v>473</v>
      </c>
      <c r="J473" s="14">
        <f t="shared" ca="1" si="37"/>
        <v>3</v>
      </c>
      <c r="K473" s="4">
        <f t="shared" ca="1" si="35"/>
        <v>0</v>
      </c>
      <c r="L473" s="73">
        <f t="shared" ca="1" si="34"/>
        <v>3</v>
      </c>
      <c r="M473" s="6">
        <f t="shared" si="36"/>
        <v>1</v>
      </c>
      <c r="N473">
        <v>3</v>
      </c>
    </row>
    <row r="474" spans="2:14">
      <c r="B474" s="13" t="s">
        <v>474</v>
      </c>
      <c r="C474" s="6">
        <v>0</v>
      </c>
      <c r="D474" s="5"/>
      <c r="F474" s="14"/>
      <c r="I474" s="13" t="s">
        <v>474</v>
      </c>
      <c r="J474" s="14">
        <f t="shared" ca="1" si="37"/>
        <v>0</v>
      </c>
      <c r="K474" s="4">
        <f t="shared" ca="1" si="35"/>
        <v>0</v>
      </c>
      <c r="L474" s="73">
        <f t="shared" ca="1" si="34"/>
        <v>0</v>
      </c>
      <c r="M474" s="6">
        <f t="shared" si="36"/>
        <v>1</v>
      </c>
      <c r="N474">
        <v>0</v>
      </c>
    </row>
    <row r="475" spans="2:14">
      <c r="B475" s="13" t="s">
        <v>475</v>
      </c>
      <c r="C475" s="6">
        <v>0</v>
      </c>
      <c r="D475" s="5"/>
      <c r="F475" s="14"/>
      <c r="I475" s="13" t="s">
        <v>475</v>
      </c>
      <c r="J475" s="14">
        <f t="shared" ca="1" si="37"/>
        <v>0</v>
      </c>
      <c r="K475" s="4">
        <f t="shared" ca="1" si="35"/>
        <v>0</v>
      </c>
      <c r="L475" s="73">
        <f t="shared" ca="1" si="34"/>
        <v>0</v>
      </c>
      <c r="M475" s="6">
        <f t="shared" si="36"/>
        <v>1</v>
      </c>
      <c r="N475">
        <v>0</v>
      </c>
    </row>
    <row r="476" spans="2:14">
      <c r="B476" s="13" t="s">
        <v>476</v>
      </c>
      <c r="C476" s="6">
        <v>0</v>
      </c>
      <c r="D476" s="5"/>
      <c r="F476" s="14"/>
      <c r="I476" s="13" t="s">
        <v>476</v>
      </c>
      <c r="J476" s="14">
        <f t="shared" ca="1" si="37"/>
        <v>0</v>
      </c>
      <c r="K476" s="4">
        <f t="shared" ca="1" si="35"/>
        <v>0</v>
      </c>
      <c r="L476" s="73">
        <f t="shared" ca="1" si="34"/>
        <v>0</v>
      </c>
      <c r="M476" s="6">
        <f t="shared" si="36"/>
        <v>1</v>
      </c>
      <c r="N476">
        <v>0</v>
      </c>
    </row>
    <row r="477" spans="2:14">
      <c r="B477" s="13" t="s">
        <v>477</v>
      </c>
      <c r="C477" s="6">
        <v>0</v>
      </c>
      <c r="D477" s="5"/>
      <c r="F477" s="14"/>
      <c r="I477" s="13" t="s">
        <v>477</v>
      </c>
      <c r="J477" s="14">
        <f t="shared" ca="1" si="37"/>
        <v>0</v>
      </c>
      <c r="K477" s="4">
        <f t="shared" ca="1" si="35"/>
        <v>0</v>
      </c>
      <c r="L477" s="73">
        <f t="shared" ca="1" si="34"/>
        <v>0</v>
      </c>
      <c r="M477" s="6">
        <f t="shared" si="36"/>
        <v>1</v>
      </c>
      <c r="N477">
        <v>0</v>
      </c>
    </row>
    <row r="478" spans="2:14">
      <c r="B478" s="11" t="s">
        <v>707</v>
      </c>
      <c r="C478" s="6">
        <v>0</v>
      </c>
      <c r="D478" s="5"/>
      <c r="F478" s="14"/>
      <c r="I478" s="11" t="s">
        <v>707</v>
      </c>
      <c r="J478" s="14">
        <f t="shared" ca="1" si="37"/>
        <v>0</v>
      </c>
      <c r="K478" s="4">
        <f t="shared" ca="1" si="35"/>
        <v>0</v>
      </c>
      <c r="L478" s="73">
        <f t="shared" ca="1" si="34"/>
        <v>0</v>
      </c>
      <c r="M478" s="6">
        <f t="shared" si="36"/>
        <v>1</v>
      </c>
      <c r="N478">
        <v>0</v>
      </c>
    </row>
    <row r="479" spans="2:14">
      <c r="B479" s="13" t="s">
        <v>478</v>
      </c>
      <c r="C479" s="6">
        <v>0</v>
      </c>
      <c r="D479" s="5"/>
      <c r="E479" s="7"/>
      <c r="F479" s="14"/>
      <c r="I479" s="13" t="s">
        <v>478</v>
      </c>
      <c r="J479" s="14">
        <f t="shared" ca="1" si="37"/>
        <v>0</v>
      </c>
      <c r="K479" s="4">
        <f t="shared" ca="1" si="35"/>
        <v>0</v>
      </c>
      <c r="L479" s="73">
        <f t="shared" ca="1" si="34"/>
        <v>0</v>
      </c>
      <c r="M479" s="6">
        <f t="shared" si="36"/>
        <v>1</v>
      </c>
      <c r="N479">
        <v>0</v>
      </c>
    </row>
    <row r="480" spans="2:14">
      <c r="B480" s="4" t="s">
        <v>719</v>
      </c>
      <c r="C480" s="6">
        <v>0</v>
      </c>
      <c r="D480" s="5"/>
      <c r="F480" s="14"/>
      <c r="I480" s="4" t="s">
        <v>719</v>
      </c>
      <c r="J480" s="14">
        <f t="shared" ca="1" si="37"/>
        <v>0</v>
      </c>
      <c r="K480" s="4">
        <f t="shared" ca="1" si="35"/>
        <v>0</v>
      </c>
      <c r="L480" s="73">
        <f t="shared" ca="1" si="34"/>
        <v>0</v>
      </c>
      <c r="M480" s="6">
        <f t="shared" si="36"/>
        <v>1</v>
      </c>
      <c r="N480">
        <v>0</v>
      </c>
    </row>
    <row r="481" spans="1:14">
      <c r="B481" s="13" t="s">
        <v>242</v>
      </c>
      <c r="C481" s="6">
        <v>0</v>
      </c>
      <c r="D481" s="5"/>
      <c r="F481" s="14"/>
      <c r="I481" s="13" t="s">
        <v>242</v>
      </c>
      <c r="J481" s="14">
        <f t="shared" ca="1" si="37"/>
        <v>0</v>
      </c>
      <c r="K481" s="4">
        <f t="shared" ca="1" si="35"/>
        <v>0</v>
      </c>
      <c r="L481" s="73">
        <f t="shared" ca="1" si="34"/>
        <v>0</v>
      </c>
      <c r="M481" s="6">
        <f t="shared" si="36"/>
        <v>1</v>
      </c>
      <c r="N481">
        <v>0</v>
      </c>
    </row>
    <row r="482" spans="1:14">
      <c r="B482" s="4" t="s">
        <v>720</v>
      </c>
      <c r="C482" s="6">
        <v>0</v>
      </c>
      <c r="D482" s="5"/>
      <c r="F482" s="14"/>
      <c r="I482" s="4" t="s">
        <v>720</v>
      </c>
      <c r="J482" s="14">
        <f t="shared" ca="1" si="37"/>
        <v>0</v>
      </c>
      <c r="K482" s="4">
        <f t="shared" ca="1" si="35"/>
        <v>0</v>
      </c>
      <c r="L482" s="73">
        <f t="shared" ca="1" si="34"/>
        <v>0</v>
      </c>
      <c r="M482" s="6">
        <f t="shared" si="36"/>
        <v>1</v>
      </c>
      <c r="N482">
        <v>0</v>
      </c>
    </row>
    <row r="483" spans="1:14">
      <c r="B483" s="4" t="s">
        <v>721</v>
      </c>
      <c r="C483" s="6">
        <v>0</v>
      </c>
      <c r="D483" s="5"/>
      <c r="F483" s="14"/>
      <c r="I483" s="4" t="s">
        <v>721</v>
      </c>
      <c r="J483" s="14">
        <f t="shared" ca="1" si="37"/>
        <v>0</v>
      </c>
      <c r="K483" s="4">
        <f t="shared" ca="1" si="35"/>
        <v>0</v>
      </c>
      <c r="L483" s="73">
        <f t="shared" ca="1" si="34"/>
        <v>0</v>
      </c>
      <c r="M483" s="6">
        <f t="shared" si="36"/>
        <v>1</v>
      </c>
      <c r="N483">
        <v>0</v>
      </c>
    </row>
    <row r="484" spans="1:14">
      <c r="B484" s="4" t="s">
        <v>722</v>
      </c>
      <c r="C484" s="6">
        <v>0</v>
      </c>
      <c r="D484" s="5"/>
      <c r="F484" s="14"/>
      <c r="I484" s="4" t="s">
        <v>722</v>
      </c>
      <c r="J484" s="14">
        <f t="shared" ca="1" si="37"/>
        <v>0</v>
      </c>
      <c r="K484" s="4">
        <f t="shared" ca="1" si="35"/>
        <v>0</v>
      </c>
      <c r="L484" s="73">
        <f t="shared" ca="1" si="34"/>
        <v>0</v>
      </c>
      <c r="M484" s="6">
        <f t="shared" si="36"/>
        <v>1</v>
      </c>
      <c r="N484">
        <v>0</v>
      </c>
    </row>
    <row r="485" spans="1:14">
      <c r="B485" s="4" t="s">
        <v>733</v>
      </c>
      <c r="C485" s="6">
        <v>0</v>
      </c>
      <c r="D485" s="5"/>
      <c r="F485" s="14"/>
      <c r="I485" s="4" t="s">
        <v>733</v>
      </c>
      <c r="J485" s="14">
        <f t="shared" ca="1" si="37"/>
        <v>0</v>
      </c>
      <c r="K485" s="4">
        <f t="shared" ca="1" si="35"/>
        <v>0</v>
      </c>
      <c r="L485" s="73">
        <f t="shared" ca="1" si="34"/>
        <v>0</v>
      </c>
      <c r="M485" s="6">
        <f t="shared" si="36"/>
        <v>1</v>
      </c>
      <c r="N485">
        <v>0</v>
      </c>
    </row>
    <row r="486" spans="1:14">
      <c r="B486" s="13" t="s">
        <v>479</v>
      </c>
      <c r="C486" s="6">
        <v>0</v>
      </c>
      <c r="D486" s="5"/>
      <c r="E486" s="7"/>
      <c r="F486" s="14"/>
      <c r="I486" s="13" t="s">
        <v>479</v>
      </c>
      <c r="J486" s="14">
        <f t="shared" ca="1" si="37"/>
        <v>0</v>
      </c>
      <c r="K486" s="4">
        <f t="shared" ca="1" si="35"/>
        <v>0</v>
      </c>
      <c r="L486" s="73">
        <f t="shared" ca="1" si="34"/>
        <v>0</v>
      </c>
      <c r="M486" s="6">
        <f t="shared" si="36"/>
        <v>1</v>
      </c>
      <c r="N486">
        <v>0</v>
      </c>
    </row>
    <row r="487" spans="1:14">
      <c r="B487" s="13" t="s">
        <v>480</v>
      </c>
      <c r="C487" s="6">
        <v>0</v>
      </c>
      <c r="D487" s="5"/>
      <c r="F487" s="14"/>
      <c r="I487" s="13" t="s">
        <v>480</v>
      </c>
      <c r="J487" s="14">
        <f t="shared" ca="1" si="37"/>
        <v>0</v>
      </c>
      <c r="K487" s="4">
        <f t="shared" ca="1" si="35"/>
        <v>0</v>
      </c>
      <c r="L487" s="73">
        <f t="shared" ca="1" si="34"/>
        <v>0</v>
      </c>
      <c r="M487" s="6">
        <f t="shared" si="36"/>
        <v>1</v>
      </c>
      <c r="N487">
        <v>0</v>
      </c>
    </row>
    <row r="488" spans="1:14">
      <c r="B488" s="13" t="s">
        <v>481</v>
      </c>
      <c r="C488" s="6">
        <v>0</v>
      </c>
      <c r="D488" s="5"/>
      <c r="F488" s="14"/>
      <c r="I488" s="13" t="s">
        <v>481</v>
      </c>
      <c r="J488" s="14">
        <f t="shared" ca="1" si="37"/>
        <v>0</v>
      </c>
      <c r="K488" s="4">
        <f t="shared" ca="1" si="35"/>
        <v>0</v>
      </c>
      <c r="L488" s="73">
        <f t="shared" ca="1" si="34"/>
        <v>0</v>
      </c>
      <c r="M488" s="6">
        <f t="shared" si="36"/>
        <v>1</v>
      </c>
      <c r="N488">
        <v>0</v>
      </c>
    </row>
    <row r="489" spans="1:14">
      <c r="B489" s="13" t="s">
        <v>243</v>
      </c>
      <c r="C489" s="6">
        <v>10</v>
      </c>
      <c r="D489" s="5"/>
      <c r="F489" s="14"/>
      <c r="I489" s="13" t="s">
        <v>243</v>
      </c>
      <c r="J489" s="14">
        <f t="shared" ca="1" si="37"/>
        <v>10</v>
      </c>
      <c r="K489" s="4">
        <f t="shared" ca="1" si="35"/>
        <v>0</v>
      </c>
      <c r="L489" s="73">
        <f t="shared" ca="1" si="34"/>
        <v>10</v>
      </c>
      <c r="M489" s="6">
        <f t="shared" si="36"/>
        <v>1</v>
      </c>
      <c r="N489">
        <v>10</v>
      </c>
    </row>
    <row r="490" spans="1:14">
      <c r="B490" s="13" t="s">
        <v>482</v>
      </c>
      <c r="C490" s="6">
        <v>0</v>
      </c>
      <c r="D490" s="5"/>
      <c r="F490" s="14"/>
      <c r="I490" s="13" t="s">
        <v>482</v>
      </c>
      <c r="J490" s="14">
        <f t="shared" ca="1" si="37"/>
        <v>0</v>
      </c>
      <c r="K490" s="4">
        <f t="shared" ca="1" si="35"/>
        <v>0</v>
      </c>
      <c r="L490" s="73">
        <f t="shared" ca="1" si="34"/>
        <v>0</v>
      </c>
      <c r="M490" s="6">
        <f t="shared" si="36"/>
        <v>1</v>
      </c>
      <c r="N490">
        <v>0</v>
      </c>
    </row>
    <row r="491" spans="1:14">
      <c r="B491" s="13" t="s">
        <v>244</v>
      </c>
      <c r="C491" s="6">
        <v>0</v>
      </c>
      <c r="D491" s="5"/>
      <c r="F491" s="14"/>
      <c r="I491" s="13" t="s">
        <v>244</v>
      </c>
      <c r="J491" s="14">
        <f t="shared" ca="1" si="37"/>
        <v>0</v>
      </c>
      <c r="K491" s="4">
        <f t="shared" ca="1" si="35"/>
        <v>0</v>
      </c>
      <c r="L491" s="73">
        <f t="shared" ca="1" si="34"/>
        <v>0</v>
      </c>
      <c r="M491" s="6">
        <f t="shared" si="36"/>
        <v>1</v>
      </c>
      <c r="N491">
        <v>0</v>
      </c>
    </row>
    <row r="492" spans="1:14">
      <c r="B492" s="13" t="s">
        <v>245</v>
      </c>
      <c r="C492" s="6">
        <v>3</v>
      </c>
      <c r="D492" s="5"/>
      <c r="F492" s="14"/>
      <c r="I492" s="13" t="s">
        <v>245</v>
      </c>
      <c r="J492" s="14">
        <f t="shared" ca="1" si="37"/>
        <v>3</v>
      </c>
      <c r="K492" s="4">
        <f t="shared" ca="1" si="35"/>
        <v>0</v>
      </c>
      <c r="L492" s="73">
        <f t="shared" ca="1" si="34"/>
        <v>3</v>
      </c>
      <c r="M492" s="6">
        <f t="shared" si="36"/>
        <v>1</v>
      </c>
      <c r="N492">
        <v>3</v>
      </c>
    </row>
    <row r="493" spans="1:14">
      <c r="B493" s="13" t="s">
        <v>483</v>
      </c>
      <c r="C493" s="6">
        <v>0</v>
      </c>
      <c r="D493" s="5"/>
      <c r="F493" s="14"/>
      <c r="I493" s="13" t="s">
        <v>483</v>
      </c>
      <c r="J493" s="14">
        <f t="shared" ca="1" si="37"/>
        <v>0</v>
      </c>
      <c r="K493" s="4">
        <f t="shared" ca="1" si="35"/>
        <v>0</v>
      </c>
      <c r="L493" s="73">
        <f t="shared" ca="1" si="34"/>
        <v>0</v>
      </c>
      <c r="M493" s="6">
        <f t="shared" si="36"/>
        <v>1</v>
      </c>
      <c r="N493">
        <v>0</v>
      </c>
    </row>
    <row r="494" spans="1:14">
      <c r="A494" s="7"/>
      <c r="B494" s="13" t="s">
        <v>246</v>
      </c>
      <c r="C494" s="6">
        <v>0</v>
      </c>
      <c r="D494" s="5"/>
      <c r="F494" s="14"/>
      <c r="I494" s="13" t="s">
        <v>246</v>
      </c>
      <c r="J494" s="14">
        <f t="shared" ca="1" si="37"/>
        <v>0</v>
      </c>
      <c r="K494" s="4">
        <f t="shared" ca="1" si="35"/>
        <v>0</v>
      </c>
      <c r="L494" s="73">
        <f t="shared" ca="1" si="34"/>
        <v>0</v>
      </c>
      <c r="M494" s="6">
        <f t="shared" si="36"/>
        <v>1</v>
      </c>
      <c r="N494">
        <v>0</v>
      </c>
    </row>
    <row r="495" spans="1:14">
      <c r="B495" s="13" t="s">
        <v>247</v>
      </c>
      <c r="C495" s="6">
        <v>2</v>
      </c>
      <c r="D495" s="5"/>
      <c r="E495" s="7"/>
      <c r="F495" s="14"/>
      <c r="I495" s="13" t="s">
        <v>247</v>
      </c>
      <c r="J495" s="14">
        <f t="shared" ca="1" si="37"/>
        <v>2</v>
      </c>
      <c r="K495" s="4">
        <f t="shared" ca="1" si="35"/>
        <v>0</v>
      </c>
      <c r="L495" s="73">
        <f t="shared" ca="1" si="34"/>
        <v>2</v>
      </c>
      <c r="M495" s="6">
        <f t="shared" si="36"/>
        <v>1</v>
      </c>
      <c r="N495">
        <v>-3</v>
      </c>
    </row>
    <row r="496" spans="1:14">
      <c r="B496" s="13" t="s">
        <v>484</v>
      </c>
      <c r="C496" s="6">
        <v>0</v>
      </c>
      <c r="D496" s="5"/>
      <c r="F496" s="14"/>
      <c r="I496" s="13" t="s">
        <v>484</v>
      </c>
      <c r="J496" s="14">
        <f t="shared" ca="1" si="37"/>
        <v>0</v>
      </c>
      <c r="K496" s="4">
        <f t="shared" ca="1" si="35"/>
        <v>0</v>
      </c>
      <c r="L496" s="73">
        <f t="shared" ca="1" si="34"/>
        <v>0</v>
      </c>
      <c r="M496" s="6">
        <f t="shared" si="36"/>
        <v>1</v>
      </c>
      <c r="N496">
        <v>0</v>
      </c>
    </row>
    <row r="497" spans="1:14">
      <c r="B497" s="13" t="s">
        <v>248</v>
      </c>
      <c r="C497" s="6">
        <v>0</v>
      </c>
      <c r="D497" s="5"/>
      <c r="F497" s="14"/>
      <c r="I497" s="13" t="s">
        <v>248</v>
      </c>
      <c r="J497" s="14">
        <f t="shared" ca="1" si="37"/>
        <v>0</v>
      </c>
      <c r="K497" s="4">
        <f t="shared" ca="1" si="35"/>
        <v>0</v>
      </c>
      <c r="L497" s="73">
        <f t="shared" ca="1" si="34"/>
        <v>0</v>
      </c>
      <c r="M497" s="6">
        <f t="shared" si="36"/>
        <v>1</v>
      </c>
      <c r="N497">
        <v>0</v>
      </c>
    </row>
    <row r="498" spans="1:14">
      <c r="B498" s="13" t="s">
        <v>249</v>
      </c>
      <c r="C498" s="6">
        <v>0</v>
      </c>
      <c r="D498" s="5"/>
      <c r="F498" s="14"/>
      <c r="I498" s="13" t="s">
        <v>249</v>
      </c>
      <c r="J498" s="14">
        <f t="shared" ca="1" si="37"/>
        <v>0</v>
      </c>
      <c r="K498" s="4">
        <f t="shared" ca="1" si="35"/>
        <v>0</v>
      </c>
      <c r="L498" s="73">
        <f t="shared" ca="1" si="34"/>
        <v>0</v>
      </c>
      <c r="M498" s="6">
        <f t="shared" si="36"/>
        <v>1</v>
      </c>
      <c r="N498">
        <v>0</v>
      </c>
    </row>
    <row r="499" spans="1:14">
      <c r="B499" s="13" t="s">
        <v>250</v>
      </c>
      <c r="C499" s="6">
        <v>0</v>
      </c>
      <c r="D499" s="5"/>
      <c r="F499" s="14"/>
      <c r="I499" s="13" t="s">
        <v>250</v>
      </c>
      <c r="J499" s="14">
        <f t="shared" ca="1" si="37"/>
        <v>0</v>
      </c>
      <c r="K499" s="4">
        <f t="shared" ca="1" si="35"/>
        <v>0</v>
      </c>
      <c r="L499" s="73">
        <f t="shared" ca="1" si="34"/>
        <v>0</v>
      </c>
      <c r="M499" s="6">
        <f t="shared" si="36"/>
        <v>1</v>
      </c>
      <c r="N499">
        <v>0</v>
      </c>
    </row>
    <row r="500" spans="1:14">
      <c r="A500" s="7"/>
      <c r="B500" s="13" t="s">
        <v>251</v>
      </c>
      <c r="C500" s="6">
        <v>0</v>
      </c>
      <c r="D500" s="5"/>
      <c r="F500" s="14"/>
      <c r="I500" s="13" t="s">
        <v>251</v>
      </c>
      <c r="J500" s="14">
        <f t="shared" ca="1" si="37"/>
        <v>0</v>
      </c>
      <c r="K500" s="4">
        <f t="shared" ca="1" si="35"/>
        <v>0</v>
      </c>
      <c r="L500" s="73">
        <f t="shared" ca="1" si="34"/>
        <v>0</v>
      </c>
      <c r="M500" s="6">
        <f t="shared" si="36"/>
        <v>1</v>
      </c>
      <c r="N500">
        <v>0</v>
      </c>
    </row>
    <row r="501" spans="1:14">
      <c r="B501" s="13" t="s">
        <v>252</v>
      </c>
      <c r="C501" s="6">
        <v>0</v>
      </c>
      <c r="D501" s="5"/>
      <c r="F501" s="14"/>
      <c r="I501" s="13" t="s">
        <v>252</v>
      </c>
      <c r="J501" s="14">
        <f t="shared" ca="1" si="37"/>
        <v>0</v>
      </c>
      <c r="K501" s="4">
        <f t="shared" ca="1" si="35"/>
        <v>0</v>
      </c>
      <c r="L501" s="73">
        <f t="shared" ca="1" si="34"/>
        <v>0</v>
      </c>
      <c r="M501" s="6">
        <f t="shared" si="36"/>
        <v>1</v>
      </c>
      <c r="N501">
        <v>0</v>
      </c>
    </row>
    <row r="502" spans="1:14">
      <c r="B502" s="13" t="s">
        <v>485</v>
      </c>
      <c r="C502" s="6">
        <v>0</v>
      </c>
      <c r="D502" s="5"/>
      <c r="F502" s="14"/>
      <c r="I502" s="13" t="s">
        <v>485</v>
      </c>
      <c r="J502" s="14">
        <f t="shared" ca="1" si="37"/>
        <v>0</v>
      </c>
      <c r="K502" s="4">
        <f t="shared" ca="1" si="35"/>
        <v>0</v>
      </c>
      <c r="L502" s="73">
        <f t="shared" ca="1" si="34"/>
        <v>0</v>
      </c>
      <c r="M502" s="6">
        <f t="shared" si="36"/>
        <v>1</v>
      </c>
      <c r="N502">
        <v>0</v>
      </c>
    </row>
    <row r="503" spans="1:14">
      <c r="B503" s="13" t="s">
        <v>28</v>
      </c>
      <c r="C503" s="6">
        <v>1</v>
      </c>
      <c r="D503" s="5"/>
      <c r="F503" s="14"/>
      <c r="I503" s="13" t="s">
        <v>28</v>
      </c>
      <c r="J503" s="14">
        <f t="shared" ca="1" si="37"/>
        <v>1</v>
      </c>
      <c r="K503" s="4">
        <f t="shared" ca="1" si="35"/>
        <v>0</v>
      </c>
      <c r="L503" s="73">
        <f t="shared" ca="1" si="34"/>
        <v>1</v>
      </c>
      <c r="M503" s="6">
        <f t="shared" si="36"/>
        <v>1</v>
      </c>
      <c r="N503">
        <v>1</v>
      </c>
    </row>
    <row r="504" spans="1:14">
      <c r="B504" s="13" t="s">
        <v>253</v>
      </c>
      <c r="C504" s="6">
        <v>0</v>
      </c>
      <c r="D504" s="5"/>
      <c r="F504" s="14"/>
      <c r="I504" s="13" t="s">
        <v>253</v>
      </c>
      <c r="J504" s="14">
        <f t="shared" ca="1" si="37"/>
        <v>0</v>
      </c>
      <c r="K504" s="4">
        <f t="shared" ca="1" si="35"/>
        <v>0</v>
      </c>
      <c r="L504" s="73">
        <f t="shared" ca="1" si="34"/>
        <v>0</v>
      </c>
      <c r="M504" s="6">
        <f t="shared" si="36"/>
        <v>1</v>
      </c>
      <c r="N504">
        <v>0</v>
      </c>
    </row>
    <row r="505" spans="1:14">
      <c r="B505" s="13" t="s">
        <v>254</v>
      </c>
      <c r="C505" s="6">
        <v>0</v>
      </c>
      <c r="D505" s="5"/>
      <c r="F505" s="14"/>
      <c r="I505" s="13" t="s">
        <v>254</v>
      </c>
      <c r="J505" s="14">
        <f t="shared" ca="1" si="37"/>
        <v>0</v>
      </c>
      <c r="K505" s="4">
        <f t="shared" ca="1" si="35"/>
        <v>0</v>
      </c>
      <c r="L505" s="73">
        <f t="shared" ca="1" si="34"/>
        <v>0</v>
      </c>
      <c r="M505" s="6">
        <f t="shared" si="36"/>
        <v>1</v>
      </c>
      <c r="N505">
        <v>0</v>
      </c>
    </row>
    <row r="506" spans="1:14">
      <c r="B506" s="13" t="s">
        <v>255</v>
      </c>
      <c r="C506" s="6">
        <v>0</v>
      </c>
      <c r="D506" s="5"/>
      <c r="F506" s="14"/>
      <c r="I506" s="13" t="s">
        <v>255</v>
      </c>
      <c r="J506" s="14">
        <f t="shared" ca="1" si="37"/>
        <v>0</v>
      </c>
      <c r="K506" s="4">
        <f t="shared" ca="1" si="35"/>
        <v>0</v>
      </c>
      <c r="L506" s="73">
        <f t="shared" ref="L506:L568" ca="1" si="38">J506-K506</f>
        <v>0</v>
      </c>
      <c r="M506" s="6">
        <f t="shared" si="36"/>
        <v>1</v>
      </c>
      <c r="N506">
        <v>0</v>
      </c>
    </row>
    <row r="507" spans="1:14">
      <c r="B507" s="13" t="s">
        <v>486</v>
      </c>
      <c r="C507" s="6">
        <v>0</v>
      </c>
      <c r="D507" s="5"/>
      <c r="F507" s="14"/>
      <c r="I507" s="13" t="s">
        <v>486</v>
      </c>
      <c r="J507" s="14">
        <f t="shared" ca="1" si="37"/>
        <v>0</v>
      </c>
      <c r="K507" s="4">
        <f t="shared" ca="1" si="35"/>
        <v>0</v>
      </c>
      <c r="L507" s="73">
        <f t="shared" ca="1" si="38"/>
        <v>0</v>
      </c>
      <c r="M507" s="6">
        <f t="shared" si="36"/>
        <v>1</v>
      </c>
      <c r="N507">
        <v>0</v>
      </c>
    </row>
    <row r="508" spans="1:14">
      <c r="B508" s="13" t="s">
        <v>29</v>
      </c>
      <c r="C508" s="6">
        <v>0</v>
      </c>
      <c r="D508" s="5"/>
      <c r="F508" s="14"/>
      <c r="I508" s="13" t="s">
        <v>29</v>
      </c>
      <c r="J508" s="14">
        <f t="shared" ca="1" si="37"/>
        <v>0</v>
      </c>
      <c r="K508" s="4">
        <f t="shared" ca="1" si="35"/>
        <v>0</v>
      </c>
      <c r="L508" s="73">
        <f t="shared" ca="1" si="38"/>
        <v>0</v>
      </c>
      <c r="M508" s="6">
        <f t="shared" si="36"/>
        <v>1</v>
      </c>
      <c r="N508">
        <v>0</v>
      </c>
    </row>
    <row r="509" spans="1:14">
      <c r="B509" s="13" t="s">
        <v>256</v>
      </c>
      <c r="C509" s="6">
        <v>3</v>
      </c>
      <c r="D509" s="5"/>
      <c r="F509" s="14"/>
      <c r="I509" s="13" t="s">
        <v>256</v>
      </c>
      <c r="J509" s="14">
        <f t="shared" ca="1" si="37"/>
        <v>3</v>
      </c>
      <c r="K509" s="4">
        <f t="shared" ca="1" si="35"/>
        <v>0</v>
      </c>
      <c r="L509" s="73">
        <f t="shared" ca="1" si="38"/>
        <v>3</v>
      </c>
      <c r="M509" s="6">
        <f t="shared" si="36"/>
        <v>1</v>
      </c>
      <c r="N509">
        <v>3</v>
      </c>
    </row>
    <row r="510" spans="1:14">
      <c r="B510" s="13" t="s">
        <v>487</v>
      </c>
      <c r="C510" s="6">
        <v>0</v>
      </c>
      <c r="D510" s="5"/>
      <c r="F510" s="14"/>
      <c r="I510" s="13" t="s">
        <v>487</v>
      </c>
      <c r="J510" s="14">
        <f t="shared" ca="1" si="37"/>
        <v>0</v>
      </c>
      <c r="K510" s="4">
        <f t="shared" ca="1" si="35"/>
        <v>0</v>
      </c>
      <c r="L510" s="73">
        <f t="shared" ca="1" si="38"/>
        <v>0</v>
      </c>
      <c r="M510" s="6">
        <f t="shared" si="36"/>
        <v>1</v>
      </c>
      <c r="N510">
        <v>0</v>
      </c>
    </row>
    <row r="511" spans="1:14">
      <c r="B511" s="13" t="s">
        <v>488</v>
      </c>
      <c r="C511" s="6">
        <v>0</v>
      </c>
      <c r="D511" s="5"/>
      <c r="F511" s="14"/>
      <c r="I511" s="13" t="s">
        <v>488</v>
      </c>
      <c r="J511" s="14">
        <f t="shared" ca="1" si="37"/>
        <v>0</v>
      </c>
      <c r="K511" s="4">
        <f t="shared" ca="1" si="35"/>
        <v>0</v>
      </c>
      <c r="L511" s="73">
        <f t="shared" ca="1" si="38"/>
        <v>0</v>
      </c>
      <c r="M511" s="6">
        <f t="shared" si="36"/>
        <v>1</v>
      </c>
      <c r="N511">
        <v>0</v>
      </c>
    </row>
    <row r="512" spans="1:14">
      <c r="B512" s="13" t="s">
        <v>489</v>
      </c>
      <c r="C512" s="6">
        <v>0</v>
      </c>
      <c r="D512" s="5"/>
      <c r="F512" s="14"/>
      <c r="I512" s="13" t="s">
        <v>489</v>
      </c>
      <c r="J512" s="14">
        <f t="shared" ca="1" si="37"/>
        <v>0</v>
      </c>
      <c r="K512" s="4">
        <f t="shared" ca="1" si="35"/>
        <v>0</v>
      </c>
      <c r="L512" s="73">
        <f t="shared" ca="1" si="38"/>
        <v>0</v>
      </c>
      <c r="M512" s="6">
        <f t="shared" si="36"/>
        <v>1</v>
      </c>
      <c r="N512">
        <v>0</v>
      </c>
    </row>
    <row r="513" spans="2:14">
      <c r="B513" s="13" t="s">
        <v>257</v>
      </c>
      <c r="C513" s="6">
        <v>0</v>
      </c>
      <c r="D513" s="5"/>
      <c r="F513" s="14"/>
      <c r="I513" s="13" t="s">
        <v>257</v>
      </c>
      <c r="J513" s="14">
        <f t="shared" ca="1" si="37"/>
        <v>0</v>
      </c>
      <c r="K513" s="4">
        <f t="shared" ca="1" si="35"/>
        <v>0</v>
      </c>
      <c r="L513" s="73">
        <f t="shared" ca="1" si="38"/>
        <v>0</v>
      </c>
      <c r="M513" s="6">
        <f t="shared" si="36"/>
        <v>1</v>
      </c>
      <c r="N513">
        <v>0</v>
      </c>
    </row>
    <row r="514" spans="2:14">
      <c r="B514" s="13" t="s">
        <v>490</v>
      </c>
      <c r="C514" s="6">
        <v>0</v>
      </c>
      <c r="D514" s="5"/>
      <c r="F514" s="14"/>
      <c r="I514" s="13" t="s">
        <v>490</v>
      </c>
      <c r="J514" s="14">
        <f t="shared" ca="1" si="37"/>
        <v>0</v>
      </c>
      <c r="K514" s="4">
        <f t="shared" ref="K514:K577" ca="1" si="39">SUMIF(F:G,I514,G:G)</f>
        <v>0</v>
      </c>
      <c r="L514" s="73">
        <f t="shared" ca="1" si="38"/>
        <v>0</v>
      </c>
      <c r="M514" s="6">
        <f t="shared" si="36"/>
        <v>1</v>
      </c>
      <c r="N514">
        <v>0</v>
      </c>
    </row>
    <row r="515" spans="2:14">
      <c r="B515" s="13" t="s">
        <v>491</v>
      </c>
      <c r="C515" s="6">
        <v>5</v>
      </c>
      <c r="D515" s="5"/>
      <c r="F515" s="14"/>
      <c r="I515" s="13" t="s">
        <v>491</v>
      </c>
      <c r="J515" s="14">
        <f t="shared" ca="1" si="37"/>
        <v>5</v>
      </c>
      <c r="K515" s="4">
        <f t="shared" ca="1" si="39"/>
        <v>0</v>
      </c>
      <c r="L515" s="73">
        <f t="shared" ca="1" si="38"/>
        <v>5</v>
      </c>
      <c r="M515" s="6">
        <f t="shared" si="36"/>
        <v>1</v>
      </c>
      <c r="N515">
        <v>5</v>
      </c>
    </row>
    <row r="516" spans="2:14">
      <c r="B516" s="13" t="s">
        <v>492</v>
      </c>
      <c r="C516" s="6">
        <v>1</v>
      </c>
      <c r="D516" s="5"/>
      <c r="F516" s="14"/>
      <c r="I516" s="13" t="s">
        <v>492</v>
      </c>
      <c r="J516" s="14">
        <f t="shared" ca="1" si="37"/>
        <v>1</v>
      </c>
      <c r="K516" s="4">
        <f t="shared" ca="1" si="39"/>
        <v>0</v>
      </c>
      <c r="L516" s="73">
        <f t="shared" ca="1" si="38"/>
        <v>1</v>
      </c>
      <c r="M516" s="6">
        <f t="shared" si="36"/>
        <v>1</v>
      </c>
      <c r="N516">
        <v>1</v>
      </c>
    </row>
    <row r="517" spans="2:14">
      <c r="B517" s="13" t="s">
        <v>705</v>
      </c>
      <c r="C517" s="6">
        <v>2</v>
      </c>
      <c r="D517" s="5"/>
      <c r="F517" s="14"/>
      <c r="I517" s="13" t="s">
        <v>705</v>
      </c>
      <c r="J517" s="14">
        <f t="shared" ca="1" si="37"/>
        <v>2</v>
      </c>
      <c r="K517" s="4">
        <f t="shared" ca="1" si="39"/>
        <v>0</v>
      </c>
      <c r="L517" s="73">
        <f t="shared" ca="1" si="38"/>
        <v>2</v>
      </c>
      <c r="M517" s="6">
        <f t="shared" ref="M517:M580" si="40">MATCH(I517,B517,0)</f>
        <v>1</v>
      </c>
      <c r="N517">
        <v>2</v>
      </c>
    </row>
    <row r="518" spans="2:14">
      <c r="B518" s="13" t="s">
        <v>493</v>
      </c>
      <c r="C518" s="6">
        <v>2</v>
      </c>
      <c r="D518" s="5"/>
      <c r="F518" s="14"/>
      <c r="I518" s="13" t="s">
        <v>493</v>
      </c>
      <c r="J518" s="14">
        <f t="shared" ca="1" si="37"/>
        <v>2</v>
      </c>
      <c r="K518" s="4">
        <f t="shared" ca="1" si="39"/>
        <v>0</v>
      </c>
      <c r="L518" s="73">
        <f t="shared" ca="1" si="38"/>
        <v>2</v>
      </c>
      <c r="M518" s="6">
        <f t="shared" si="40"/>
        <v>1</v>
      </c>
      <c r="N518">
        <v>2</v>
      </c>
    </row>
    <row r="519" spans="2:14">
      <c r="B519" s="13" t="s">
        <v>258</v>
      </c>
      <c r="C519" s="6">
        <v>47</v>
      </c>
      <c r="D519" s="5"/>
      <c r="F519" s="14"/>
      <c r="I519" s="13" t="s">
        <v>258</v>
      </c>
      <c r="J519" s="14">
        <f t="shared" ca="1" si="37"/>
        <v>47</v>
      </c>
      <c r="K519" s="4">
        <f t="shared" ca="1" si="39"/>
        <v>9</v>
      </c>
      <c r="L519" s="73">
        <f t="shared" ca="1" si="38"/>
        <v>38</v>
      </c>
      <c r="M519" s="6">
        <f t="shared" si="40"/>
        <v>1</v>
      </c>
      <c r="N519">
        <v>47</v>
      </c>
    </row>
    <row r="520" spans="2:14">
      <c r="B520" s="13" t="s">
        <v>259</v>
      </c>
      <c r="C520" s="6">
        <v>46</v>
      </c>
      <c r="D520" s="5"/>
      <c r="F520" s="14"/>
      <c r="I520" s="13" t="s">
        <v>259</v>
      </c>
      <c r="J520" s="14">
        <f t="shared" ca="1" si="37"/>
        <v>46</v>
      </c>
      <c r="K520" s="4">
        <f t="shared" ca="1" si="39"/>
        <v>1</v>
      </c>
      <c r="L520" s="73">
        <f t="shared" ca="1" si="38"/>
        <v>45</v>
      </c>
      <c r="M520" s="6">
        <f t="shared" si="40"/>
        <v>1</v>
      </c>
      <c r="N520">
        <v>46</v>
      </c>
    </row>
    <row r="521" spans="2:14">
      <c r="B521" s="13" t="s">
        <v>494</v>
      </c>
      <c r="C521" s="6">
        <v>4</v>
      </c>
      <c r="D521" s="5"/>
      <c r="F521" s="14"/>
      <c r="I521" s="13" t="s">
        <v>494</v>
      </c>
      <c r="J521" s="14">
        <f t="shared" ca="1" si="37"/>
        <v>4</v>
      </c>
      <c r="K521" s="4">
        <f t="shared" ca="1" si="39"/>
        <v>0</v>
      </c>
      <c r="L521" s="73">
        <f t="shared" ca="1" si="38"/>
        <v>4</v>
      </c>
      <c r="M521" s="6">
        <f t="shared" si="40"/>
        <v>1</v>
      </c>
      <c r="N521">
        <v>4</v>
      </c>
    </row>
    <row r="522" spans="2:14">
      <c r="B522" s="13" t="s">
        <v>495</v>
      </c>
      <c r="C522" s="6">
        <v>4</v>
      </c>
      <c r="D522" s="5"/>
      <c r="F522" s="14"/>
      <c r="I522" s="13" t="s">
        <v>495</v>
      </c>
      <c r="J522" s="14">
        <f t="shared" ca="1" si="37"/>
        <v>4</v>
      </c>
      <c r="K522" s="4">
        <f t="shared" ca="1" si="39"/>
        <v>0</v>
      </c>
      <c r="L522" s="73">
        <f t="shared" ca="1" si="38"/>
        <v>4</v>
      </c>
      <c r="M522" s="6">
        <f t="shared" si="40"/>
        <v>1</v>
      </c>
      <c r="N522">
        <v>4</v>
      </c>
    </row>
    <row r="523" spans="2:14">
      <c r="B523" s="13" t="s">
        <v>260</v>
      </c>
      <c r="C523" s="6">
        <v>5</v>
      </c>
      <c r="D523" s="5"/>
      <c r="F523" s="14"/>
      <c r="I523" s="13" t="s">
        <v>260</v>
      </c>
      <c r="J523" s="14">
        <f t="shared" ca="1" si="37"/>
        <v>5</v>
      </c>
      <c r="K523" s="4">
        <f t="shared" ca="1" si="39"/>
        <v>0</v>
      </c>
      <c r="L523" s="73">
        <f t="shared" ca="1" si="38"/>
        <v>5</v>
      </c>
      <c r="M523" s="6">
        <f t="shared" si="40"/>
        <v>1</v>
      </c>
      <c r="N523">
        <v>5</v>
      </c>
    </row>
    <row r="524" spans="2:14">
      <c r="B524" s="13" t="s">
        <v>496</v>
      </c>
      <c r="C524" s="6">
        <v>2</v>
      </c>
      <c r="D524" s="5"/>
      <c r="F524" s="14"/>
      <c r="I524" s="13" t="s">
        <v>496</v>
      </c>
      <c r="J524" s="14">
        <f t="shared" ref="J524:J587" ca="1" si="41">SUMIF(B:C,I524,C:C)</f>
        <v>2</v>
      </c>
      <c r="K524" s="4">
        <f t="shared" ca="1" si="39"/>
        <v>0</v>
      </c>
      <c r="L524" s="73">
        <f t="shared" ca="1" si="38"/>
        <v>2</v>
      </c>
      <c r="M524" s="6">
        <f t="shared" si="40"/>
        <v>1</v>
      </c>
      <c r="N524">
        <v>2</v>
      </c>
    </row>
    <row r="525" spans="2:14">
      <c r="B525" s="13" t="s">
        <v>497</v>
      </c>
      <c r="C525" s="6">
        <v>3</v>
      </c>
      <c r="D525" s="5"/>
      <c r="F525" s="14"/>
      <c r="I525" s="13" t="s">
        <v>497</v>
      </c>
      <c r="J525" s="14">
        <f t="shared" ca="1" si="41"/>
        <v>3</v>
      </c>
      <c r="K525" s="4">
        <f t="shared" ca="1" si="39"/>
        <v>0</v>
      </c>
      <c r="L525" s="73">
        <f t="shared" ca="1" si="38"/>
        <v>3</v>
      </c>
      <c r="M525" s="6">
        <f t="shared" si="40"/>
        <v>1</v>
      </c>
      <c r="N525">
        <v>3</v>
      </c>
    </row>
    <row r="526" spans="2:14">
      <c r="B526" s="13" t="s">
        <v>498</v>
      </c>
      <c r="C526" s="6">
        <v>6</v>
      </c>
      <c r="D526" s="5"/>
      <c r="F526" s="14"/>
      <c r="I526" s="13" t="s">
        <v>498</v>
      </c>
      <c r="J526" s="14">
        <f t="shared" ca="1" si="41"/>
        <v>6</v>
      </c>
      <c r="K526" s="4">
        <f t="shared" ca="1" si="39"/>
        <v>1</v>
      </c>
      <c r="L526" s="73">
        <f t="shared" ca="1" si="38"/>
        <v>5</v>
      </c>
      <c r="M526" s="6">
        <f t="shared" si="40"/>
        <v>1</v>
      </c>
      <c r="N526">
        <v>6</v>
      </c>
    </row>
    <row r="527" spans="2:14">
      <c r="B527" s="13" t="s">
        <v>499</v>
      </c>
      <c r="C527" s="6">
        <v>1</v>
      </c>
      <c r="D527" s="5"/>
      <c r="F527" s="14"/>
      <c r="I527" s="13" t="s">
        <v>499</v>
      </c>
      <c r="J527" s="14">
        <f t="shared" ca="1" si="41"/>
        <v>1</v>
      </c>
      <c r="K527" s="4">
        <f t="shared" ca="1" si="39"/>
        <v>0</v>
      </c>
      <c r="L527" s="73">
        <f t="shared" ca="1" si="38"/>
        <v>1</v>
      </c>
      <c r="M527" s="6">
        <f t="shared" si="40"/>
        <v>1</v>
      </c>
      <c r="N527">
        <v>1</v>
      </c>
    </row>
    <row r="528" spans="2:14">
      <c r="B528" s="13" t="s">
        <v>500</v>
      </c>
      <c r="C528" s="6">
        <v>0</v>
      </c>
      <c r="D528" s="5"/>
      <c r="F528" s="14"/>
      <c r="I528" s="13" t="s">
        <v>500</v>
      </c>
      <c r="J528" s="14">
        <f t="shared" ca="1" si="41"/>
        <v>0</v>
      </c>
      <c r="K528" s="4">
        <f t="shared" ca="1" si="39"/>
        <v>0</v>
      </c>
      <c r="L528" s="73">
        <f t="shared" ca="1" si="38"/>
        <v>0</v>
      </c>
      <c r="M528" s="6">
        <f t="shared" si="40"/>
        <v>1</v>
      </c>
      <c r="N528">
        <v>0</v>
      </c>
    </row>
    <row r="529" spans="2:14">
      <c r="B529" s="13" t="s">
        <v>261</v>
      </c>
      <c r="C529" s="6">
        <v>0</v>
      </c>
      <c r="D529" s="5"/>
      <c r="F529" s="14"/>
      <c r="I529" s="13" t="s">
        <v>261</v>
      </c>
      <c r="J529" s="14">
        <f t="shared" ca="1" si="41"/>
        <v>0</v>
      </c>
      <c r="K529" s="4">
        <f t="shared" ca="1" si="39"/>
        <v>0</v>
      </c>
      <c r="L529" s="73">
        <f t="shared" ca="1" si="38"/>
        <v>0</v>
      </c>
      <c r="M529" s="6">
        <f t="shared" si="40"/>
        <v>1</v>
      </c>
      <c r="N529">
        <v>-2</v>
      </c>
    </row>
    <row r="530" spans="2:14">
      <c r="B530" s="4" t="s">
        <v>734</v>
      </c>
      <c r="C530" s="6">
        <v>0</v>
      </c>
      <c r="D530" s="5"/>
      <c r="F530" s="14"/>
      <c r="I530" s="4" t="s">
        <v>734</v>
      </c>
      <c r="J530" s="14">
        <f t="shared" ca="1" si="41"/>
        <v>0</v>
      </c>
      <c r="K530" s="4">
        <f t="shared" ca="1" si="39"/>
        <v>0</v>
      </c>
      <c r="L530" s="73">
        <f t="shared" ca="1" si="38"/>
        <v>0</v>
      </c>
      <c r="M530" s="6">
        <f t="shared" si="40"/>
        <v>1</v>
      </c>
      <c r="N530">
        <v>0</v>
      </c>
    </row>
    <row r="531" spans="2:14">
      <c r="B531" s="13" t="s">
        <v>501</v>
      </c>
      <c r="C531" s="6">
        <v>0</v>
      </c>
      <c r="D531" s="5"/>
      <c r="F531" s="14"/>
      <c r="I531" s="13" t="s">
        <v>501</v>
      </c>
      <c r="J531" s="14">
        <f t="shared" ca="1" si="41"/>
        <v>0</v>
      </c>
      <c r="K531" s="4">
        <f t="shared" ca="1" si="39"/>
        <v>0</v>
      </c>
      <c r="L531" s="73">
        <f t="shared" ca="1" si="38"/>
        <v>0</v>
      </c>
      <c r="M531" s="6">
        <f t="shared" si="40"/>
        <v>1</v>
      </c>
      <c r="N531">
        <v>0</v>
      </c>
    </row>
    <row r="532" spans="2:14">
      <c r="B532" s="13" t="s">
        <v>502</v>
      </c>
      <c r="C532" s="6">
        <v>8</v>
      </c>
      <c r="D532" s="5"/>
      <c r="F532" s="14"/>
      <c r="I532" s="13" t="s">
        <v>502</v>
      </c>
      <c r="J532" s="14">
        <f t="shared" ca="1" si="41"/>
        <v>8</v>
      </c>
      <c r="K532" s="4">
        <f t="shared" ca="1" si="39"/>
        <v>0</v>
      </c>
      <c r="L532" s="73">
        <f t="shared" ca="1" si="38"/>
        <v>8</v>
      </c>
      <c r="M532" s="6">
        <f t="shared" si="40"/>
        <v>1</v>
      </c>
      <c r="N532">
        <v>8</v>
      </c>
    </row>
    <row r="533" spans="2:14">
      <c r="B533" s="13" t="s">
        <v>503</v>
      </c>
      <c r="C533" s="6">
        <v>2</v>
      </c>
      <c r="D533" s="5"/>
      <c r="F533" s="14"/>
      <c r="I533" s="13" t="s">
        <v>503</v>
      </c>
      <c r="J533" s="14">
        <f t="shared" ca="1" si="41"/>
        <v>2</v>
      </c>
      <c r="K533" s="4">
        <f t="shared" ca="1" si="39"/>
        <v>0</v>
      </c>
      <c r="L533" s="73">
        <f t="shared" ca="1" si="38"/>
        <v>2</v>
      </c>
      <c r="M533" s="6">
        <f t="shared" si="40"/>
        <v>1</v>
      </c>
      <c r="N533">
        <v>2</v>
      </c>
    </row>
    <row r="534" spans="2:14">
      <c r="B534" s="13" t="s">
        <v>504</v>
      </c>
      <c r="C534" s="6">
        <v>20</v>
      </c>
      <c r="D534" s="5"/>
      <c r="F534" s="14"/>
      <c r="I534" s="13" t="s">
        <v>504</v>
      </c>
      <c r="J534" s="14">
        <f t="shared" ca="1" si="41"/>
        <v>20</v>
      </c>
      <c r="K534" s="4">
        <f t="shared" ca="1" si="39"/>
        <v>0</v>
      </c>
      <c r="L534" s="73">
        <f t="shared" ca="1" si="38"/>
        <v>20</v>
      </c>
      <c r="M534" s="6">
        <f t="shared" si="40"/>
        <v>1</v>
      </c>
      <c r="N534">
        <v>20</v>
      </c>
    </row>
    <row r="535" spans="2:14">
      <c r="B535" s="13" t="s">
        <v>505</v>
      </c>
      <c r="C535" s="6">
        <v>0</v>
      </c>
      <c r="D535" s="5"/>
      <c r="F535" s="14"/>
      <c r="I535" s="13" t="s">
        <v>505</v>
      </c>
      <c r="J535" s="14">
        <f t="shared" ca="1" si="41"/>
        <v>0</v>
      </c>
      <c r="K535" s="4">
        <f t="shared" ca="1" si="39"/>
        <v>0</v>
      </c>
      <c r="L535" s="73">
        <f t="shared" ca="1" si="38"/>
        <v>0</v>
      </c>
      <c r="M535" s="6">
        <f t="shared" si="40"/>
        <v>1</v>
      </c>
      <c r="N535">
        <v>-2</v>
      </c>
    </row>
    <row r="536" spans="2:14">
      <c r="B536" s="13" t="s">
        <v>506</v>
      </c>
      <c r="C536" s="6">
        <v>24</v>
      </c>
      <c r="D536" s="5"/>
      <c r="F536" s="14"/>
      <c r="I536" s="13" t="s">
        <v>506</v>
      </c>
      <c r="J536" s="14">
        <f t="shared" ca="1" si="41"/>
        <v>24</v>
      </c>
      <c r="K536" s="4">
        <f t="shared" ca="1" si="39"/>
        <v>0</v>
      </c>
      <c r="L536" s="73">
        <f t="shared" ca="1" si="38"/>
        <v>24</v>
      </c>
      <c r="M536" s="6">
        <f t="shared" si="40"/>
        <v>1</v>
      </c>
      <c r="N536">
        <v>24</v>
      </c>
    </row>
    <row r="537" spans="2:14">
      <c r="B537" s="13" t="s">
        <v>507</v>
      </c>
      <c r="C537" s="6">
        <v>0</v>
      </c>
      <c r="D537" s="5"/>
      <c r="F537" s="14"/>
      <c r="I537" s="13" t="s">
        <v>507</v>
      </c>
      <c r="J537" s="14">
        <f t="shared" ca="1" si="41"/>
        <v>0</v>
      </c>
      <c r="K537" s="4">
        <f t="shared" ca="1" si="39"/>
        <v>0</v>
      </c>
      <c r="L537" s="73">
        <f t="shared" ca="1" si="38"/>
        <v>0</v>
      </c>
      <c r="M537" s="6">
        <f t="shared" si="40"/>
        <v>1</v>
      </c>
      <c r="N537">
        <v>0</v>
      </c>
    </row>
    <row r="538" spans="2:14">
      <c r="B538" s="13" t="s">
        <v>508</v>
      </c>
      <c r="C538" s="6">
        <v>1</v>
      </c>
      <c r="D538" s="5"/>
      <c r="F538" s="14"/>
      <c r="I538" s="13" t="s">
        <v>508</v>
      </c>
      <c r="J538" s="14">
        <f t="shared" ca="1" si="41"/>
        <v>1</v>
      </c>
      <c r="K538" s="4">
        <f t="shared" ca="1" si="39"/>
        <v>0</v>
      </c>
      <c r="L538" s="73">
        <f t="shared" ca="1" si="38"/>
        <v>1</v>
      </c>
      <c r="M538" s="6">
        <f t="shared" si="40"/>
        <v>1</v>
      </c>
      <c r="N538">
        <v>1</v>
      </c>
    </row>
    <row r="539" spans="2:14">
      <c r="B539" s="13" t="s">
        <v>509</v>
      </c>
      <c r="C539" s="6">
        <v>0</v>
      </c>
      <c r="D539" s="5"/>
      <c r="F539" s="14"/>
      <c r="I539" s="13" t="s">
        <v>509</v>
      </c>
      <c r="J539" s="14">
        <f t="shared" ca="1" si="41"/>
        <v>0</v>
      </c>
      <c r="K539" s="4">
        <f t="shared" ca="1" si="39"/>
        <v>0</v>
      </c>
      <c r="L539" s="73">
        <f t="shared" ca="1" si="38"/>
        <v>0</v>
      </c>
      <c r="M539" s="6">
        <f t="shared" si="40"/>
        <v>1</v>
      </c>
      <c r="N539">
        <v>0</v>
      </c>
    </row>
    <row r="540" spans="2:14">
      <c r="B540" s="4" t="s">
        <v>735</v>
      </c>
      <c r="C540" s="6">
        <v>0</v>
      </c>
      <c r="D540" s="5"/>
      <c r="F540" s="14"/>
      <c r="I540" s="4" t="s">
        <v>735</v>
      </c>
      <c r="J540" s="14">
        <f t="shared" ca="1" si="41"/>
        <v>0</v>
      </c>
      <c r="K540" s="4">
        <f t="shared" ca="1" si="39"/>
        <v>0</v>
      </c>
      <c r="L540" s="73">
        <f t="shared" ca="1" si="38"/>
        <v>0</v>
      </c>
      <c r="M540" s="6">
        <f t="shared" si="40"/>
        <v>1</v>
      </c>
      <c r="N540">
        <v>0</v>
      </c>
    </row>
    <row r="541" spans="2:14">
      <c r="B541" s="4" t="s">
        <v>723</v>
      </c>
      <c r="C541" s="6">
        <v>0</v>
      </c>
      <c r="D541" s="5"/>
      <c r="F541" s="14"/>
      <c r="I541" s="4" t="s">
        <v>723</v>
      </c>
      <c r="J541" s="14">
        <f t="shared" ca="1" si="41"/>
        <v>0</v>
      </c>
      <c r="K541" s="4">
        <f t="shared" ca="1" si="39"/>
        <v>0</v>
      </c>
      <c r="L541" s="73">
        <f t="shared" ca="1" si="38"/>
        <v>0</v>
      </c>
      <c r="M541" s="6">
        <f t="shared" si="40"/>
        <v>1</v>
      </c>
      <c r="N541">
        <v>0</v>
      </c>
    </row>
    <row r="542" spans="2:14">
      <c r="B542" s="13" t="s">
        <v>510</v>
      </c>
      <c r="C542" s="6">
        <v>1</v>
      </c>
      <c r="D542" s="5"/>
      <c r="F542" s="14"/>
      <c r="I542" s="13" t="s">
        <v>510</v>
      </c>
      <c r="J542" s="14">
        <f t="shared" ca="1" si="41"/>
        <v>1</v>
      </c>
      <c r="K542" s="4">
        <f t="shared" ca="1" si="39"/>
        <v>0</v>
      </c>
      <c r="L542" s="73">
        <f t="shared" ca="1" si="38"/>
        <v>1</v>
      </c>
      <c r="M542" s="6">
        <f t="shared" si="40"/>
        <v>1</v>
      </c>
      <c r="N542">
        <v>1</v>
      </c>
    </row>
    <row r="543" spans="2:14">
      <c r="B543" s="13" t="s">
        <v>511</v>
      </c>
      <c r="C543" s="6">
        <v>0</v>
      </c>
      <c r="D543" s="5"/>
      <c r="F543" s="14"/>
      <c r="I543" s="13" t="s">
        <v>511</v>
      </c>
      <c r="J543" s="14">
        <f t="shared" ca="1" si="41"/>
        <v>0</v>
      </c>
      <c r="K543" s="4">
        <f t="shared" ca="1" si="39"/>
        <v>0</v>
      </c>
      <c r="L543" s="73">
        <f t="shared" ca="1" si="38"/>
        <v>0</v>
      </c>
      <c r="M543" s="6">
        <f t="shared" si="40"/>
        <v>1</v>
      </c>
      <c r="N543">
        <v>0</v>
      </c>
    </row>
    <row r="544" spans="2:14">
      <c r="B544" s="4" t="s">
        <v>736</v>
      </c>
      <c r="C544" s="6">
        <v>1</v>
      </c>
      <c r="D544" s="5"/>
      <c r="F544" s="14"/>
      <c r="I544" s="4" t="s">
        <v>736</v>
      </c>
      <c r="J544" s="14">
        <f t="shared" ca="1" si="41"/>
        <v>1</v>
      </c>
      <c r="K544" s="4">
        <f t="shared" ca="1" si="39"/>
        <v>0</v>
      </c>
      <c r="L544" s="73">
        <f t="shared" ca="1" si="38"/>
        <v>1</v>
      </c>
      <c r="M544" s="6">
        <f t="shared" si="40"/>
        <v>1</v>
      </c>
      <c r="N544">
        <v>1</v>
      </c>
    </row>
    <row r="545" spans="1:14">
      <c r="B545" s="4" t="s">
        <v>737</v>
      </c>
      <c r="C545" s="6">
        <v>0</v>
      </c>
      <c r="D545" s="5"/>
      <c r="F545" s="14"/>
      <c r="I545" s="4" t="s">
        <v>737</v>
      </c>
      <c r="J545" s="14">
        <f t="shared" ca="1" si="41"/>
        <v>0</v>
      </c>
      <c r="K545" s="4">
        <f t="shared" ca="1" si="39"/>
        <v>0</v>
      </c>
      <c r="L545" s="73">
        <f t="shared" ca="1" si="38"/>
        <v>0</v>
      </c>
      <c r="M545" s="6">
        <f t="shared" si="40"/>
        <v>1</v>
      </c>
      <c r="N545">
        <v>0</v>
      </c>
    </row>
    <row r="546" spans="1:14">
      <c r="B546" s="4" t="s">
        <v>738</v>
      </c>
      <c r="C546" s="6">
        <v>0</v>
      </c>
      <c r="D546" s="5"/>
      <c r="F546" s="14"/>
      <c r="I546" s="4" t="s">
        <v>738</v>
      </c>
      <c r="J546" s="14">
        <f t="shared" ca="1" si="41"/>
        <v>0</v>
      </c>
      <c r="K546" s="4">
        <f t="shared" ca="1" si="39"/>
        <v>0</v>
      </c>
      <c r="L546" s="73">
        <f t="shared" ca="1" si="38"/>
        <v>0</v>
      </c>
      <c r="M546" s="6">
        <f t="shared" si="40"/>
        <v>1</v>
      </c>
      <c r="N546">
        <v>0</v>
      </c>
    </row>
    <row r="547" spans="1:14">
      <c r="B547" s="4" t="s">
        <v>739</v>
      </c>
      <c r="C547" s="6">
        <v>0</v>
      </c>
      <c r="D547" s="5"/>
      <c r="F547" s="14"/>
      <c r="I547" s="4" t="s">
        <v>739</v>
      </c>
      <c r="J547" s="14">
        <f t="shared" ca="1" si="41"/>
        <v>0</v>
      </c>
      <c r="K547" s="4">
        <f t="shared" ca="1" si="39"/>
        <v>0</v>
      </c>
      <c r="L547" s="73">
        <f t="shared" ca="1" si="38"/>
        <v>0</v>
      </c>
      <c r="M547" s="6">
        <f t="shared" si="40"/>
        <v>1</v>
      </c>
      <c r="N547">
        <v>0</v>
      </c>
    </row>
    <row r="548" spans="1:14">
      <c r="A548" s="7"/>
      <c r="B548" s="4" t="s">
        <v>740</v>
      </c>
      <c r="C548" s="6">
        <v>0</v>
      </c>
      <c r="D548" s="5"/>
      <c r="F548" s="14"/>
      <c r="I548" s="4" t="s">
        <v>740</v>
      </c>
      <c r="J548" s="14">
        <f t="shared" ca="1" si="41"/>
        <v>0</v>
      </c>
      <c r="K548" s="4">
        <f t="shared" ca="1" si="39"/>
        <v>0</v>
      </c>
      <c r="L548" s="73">
        <f t="shared" ca="1" si="38"/>
        <v>0</v>
      </c>
      <c r="M548" s="6">
        <f t="shared" si="40"/>
        <v>1</v>
      </c>
      <c r="N548">
        <v>0</v>
      </c>
    </row>
    <row r="549" spans="1:14">
      <c r="B549" s="4" t="s">
        <v>741</v>
      </c>
      <c r="C549" s="6">
        <v>0</v>
      </c>
      <c r="D549" s="5"/>
      <c r="F549" s="14"/>
      <c r="I549" s="4" t="s">
        <v>741</v>
      </c>
      <c r="J549" s="14">
        <f t="shared" ca="1" si="41"/>
        <v>0</v>
      </c>
      <c r="K549" s="4">
        <f t="shared" ca="1" si="39"/>
        <v>0</v>
      </c>
      <c r="L549" s="73">
        <f t="shared" ca="1" si="38"/>
        <v>0</v>
      </c>
      <c r="M549" s="6">
        <f t="shared" si="40"/>
        <v>1</v>
      </c>
      <c r="N549">
        <v>0</v>
      </c>
    </row>
    <row r="550" spans="1:14">
      <c r="A550" s="7"/>
      <c r="B550" s="4" t="s">
        <v>742</v>
      </c>
      <c r="C550" s="6">
        <v>0</v>
      </c>
      <c r="D550" s="5"/>
      <c r="F550" s="14"/>
      <c r="I550" s="4" t="s">
        <v>742</v>
      </c>
      <c r="J550" s="14">
        <f t="shared" ca="1" si="41"/>
        <v>0</v>
      </c>
      <c r="K550" s="4">
        <f t="shared" ca="1" si="39"/>
        <v>0</v>
      </c>
      <c r="L550" s="73">
        <f t="shared" ca="1" si="38"/>
        <v>0</v>
      </c>
      <c r="M550" s="6">
        <f t="shared" si="40"/>
        <v>1</v>
      </c>
      <c r="N550">
        <v>0</v>
      </c>
    </row>
    <row r="551" spans="1:14">
      <c r="B551" s="13" t="s">
        <v>512</v>
      </c>
      <c r="C551" s="6">
        <v>5</v>
      </c>
      <c r="D551" s="5"/>
      <c r="F551" s="14"/>
      <c r="I551" s="13" t="s">
        <v>512</v>
      </c>
      <c r="J551" s="14">
        <f t="shared" ca="1" si="41"/>
        <v>5</v>
      </c>
      <c r="K551" s="4">
        <f t="shared" ca="1" si="39"/>
        <v>0</v>
      </c>
      <c r="L551" s="73">
        <f t="shared" ca="1" si="38"/>
        <v>5</v>
      </c>
      <c r="M551" s="6">
        <f t="shared" si="40"/>
        <v>1</v>
      </c>
      <c r="N551">
        <v>5</v>
      </c>
    </row>
    <row r="552" spans="1:14">
      <c r="B552" s="13" t="s">
        <v>513</v>
      </c>
      <c r="C552" s="6">
        <v>0</v>
      </c>
      <c r="D552" s="5"/>
      <c r="F552" s="14"/>
      <c r="I552" s="13" t="s">
        <v>513</v>
      </c>
      <c r="J552" s="14">
        <f t="shared" ca="1" si="41"/>
        <v>0</v>
      </c>
      <c r="K552" s="4">
        <f t="shared" ca="1" si="39"/>
        <v>0</v>
      </c>
      <c r="L552" s="73">
        <f t="shared" ca="1" si="38"/>
        <v>0</v>
      </c>
      <c r="M552" s="6">
        <f t="shared" si="40"/>
        <v>1</v>
      </c>
      <c r="N552">
        <v>0</v>
      </c>
    </row>
    <row r="553" spans="1:14">
      <c r="B553" s="13" t="s">
        <v>514</v>
      </c>
      <c r="C553" s="6">
        <v>0</v>
      </c>
      <c r="D553" s="5"/>
      <c r="F553" s="14"/>
      <c r="I553" s="13" t="s">
        <v>514</v>
      </c>
      <c r="J553" s="14">
        <f t="shared" ca="1" si="41"/>
        <v>0</v>
      </c>
      <c r="K553" s="4">
        <f t="shared" ca="1" si="39"/>
        <v>0</v>
      </c>
      <c r="L553" s="73">
        <f t="shared" ca="1" si="38"/>
        <v>0</v>
      </c>
      <c r="M553" s="6">
        <f t="shared" si="40"/>
        <v>1</v>
      </c>
      <c r="N553">
        <v>0</v>
      </c>
    </row>
    <row r="554" spans="1:14">
      <c r="B554" s="13" t="s">
        <v>515</v>
      </c>
      <c r="C554" s="6">
        <v>0</v>
      </c>
      <c r="D554" s="5"/>
      <c r="F554" s="14"/>
      <c r="I554" s="13" t="s">
        <v>515</v>
      </c>
      <c r="J554" s="14">
        <f t="shared" ca="1" si="41"/>
        <v>0</v>
      </c>
      <c r="K554" s="4">
        <f t="shared" ca="1" si="39"/>
        <v>0</v>
      </c>
      <c r="L554" s="73">
        <f t="shared" ca="1" si="38"/>
        <v>0</v>
      </c>
      <c r="M554" s="6">
        <f t="shared" si="40"/>
        <v>1</v>
      </c>
      <c r="N554">
        <v>0</v>
      </c>
    </row>
    <row r="555" spans="1:14">
      <c r="B555" s="4" t="s">
        <v>743</v>
      </c>
      <c r="C555" s="6">
        <v>0</v>
      </c>
      <c r="D555" s="5"/>
      <c r="F555" s="14"/>
      <c r="I555" s="4" t="s">
        <v>743</v>
      </c>
      <c r="J555" s="14">
        <f t="shared" ca="1" si="41"/>
        <v>0</v>
      </c>
      <c r="K555" s="4">
        <f t="shared" ca="1" si="39"/>
        <v>0</v>
      </c>
      <c r="L555" s="73">
        <f t="shared" ca="1" si="38"/>
        <v>0</v>
      </c>
      <c r="M555" s="6">
        <f t="shared" si="40"/>
        <v>1</v>
      </c>
      <c r="N555">
        <v>0</v>
      </c>
    </row>
    <row r="556" spans="1:14">
      <c r="B556" s="4" t="s">
        <v>744</v>
      </c>
      <c r="C556" s="6">
        <v>0</v>
      </c>
      <c r="D556" s="5"/>
      <c r="F556" s="14"/>
      <c r="I556" s="4" t="s">
        <v>744</v>
      </c>
      <c r="J556" s="14">
        <f t="shared" ca="1" si="41"/>
        <v>0</v>
      </c>
      <c r="K556" s="4">
        <f t="shared" ca="1" si="39"/>
        <v>0</v>
      </c>
      <c r="L556" s="73">
        <f t="shared" ca="1" si="38"/>
        <v>0</v>
      </c>
      <c r="M556" s="6">
        <f t="shared" si="40"/>
        <v>1</v>
      </c>
      <c r="N556">
        <v>0</v>
      </c>
    </row>
    <row r="557" spans="1:14">
      <c r="A557" s="7"/>
      <c r="B557" s="13" t="s">
        <v>516</v>
      </c>
      <c r="C557" s="6">
        <v>0</v>
      </c>
      <c r="D557" s="5"/>
      <c r="F557" s="14"/>
      <c r="I557" s="13" t="s">
        <v>516</v>
      </c>
      <c r="J557" s="14">
        <f t="shared" ca="1" si="41"/>
        <v>0</v>
      </c>
      <c r="K557" s="4">
        <f t="shared" ca="1" si="39"/>
        <v>0</v>
      </c>
      <c r="L557" s="73">
        <f t="shared" ca="1" si="38"/>
        <v>0</v>
      </c>
      <c r="M557" s="6">
        <f t="shared" si="40"/>
        <v>1</v>
      </c>
      <c r="N557">
        <v>0</v>
      </c>
    </row>
    <row r="558" spans="1:14">
      <c r="B558" s="4" t="s">
        <v>745</v>
      </c>
      <c r="C558" s="6">
        <v>0</v>
      </c>
      <c r="D558" s="5"/>
      <c r="F558" s="14"/>
      <c r="I558" s="4" t="s">
        <v>745</v>
      </c>
      <c r="J558" s="14">
        <f t="shared" ca="1" si="41"/>
        <v>0</v>
      </c>
      <c r="K558" s="4">
        <f t="shared" ca="1" si="39"/>
        <v>0</v>
      </c>
      <c r="L558" s="73">
        <f t="shared" ca="1" si="38"/>
        <v>0</v>
      </c>
      <c r="M558" s="6">
        <f t="shared" si="40"/>
        <v>1</v>
      </c>
      <c r="N558">
        <v>0</v>
      </c>
    </row>
    <row r="559" spans="1:14">
      <c r="B559" s="4" t="s">
        <v>746</v>
      </c>
      <c r="C559" s="6">
        <v>1</v>
      </c>
      <c r="D559" s="5"/>
      <c r="F559" s="14"/>
      <c r="I559" s="4" t="s">
        <v>746</v>
      </c>
      <c r="J559" s="14">
        <f t="shared" ca="1" si="41"/>
        <v>1</v>
      </c>
      <c r="K559" s="4">
        <f t="shared" ca="1" si="39"/>
        <v>0</v>
      </c>
      <c r="L559" s="73">
        <f t="shared" ca="1" si="38"/>
        <v>1</v>
      </c>
      <c r="M559" s="6">
        <f t="shared" si="40"/>
        <v>1</v>
      </c>
      <c r="N559">
        <v>1</v>
      </c>
    </row>
    <row r="560" spans="1:14">
      <c r="B560" s="13" t="s">
        <v>517</v>
      </c>
      <c r="C560" s="6">
        <v>0</v>
      </c>
      <c r="D560" s="5"/>
      <c r="F560" s="14"/>
      <c r="I560" s="13" t="s">
        <v>517</v>
      </c>
      <c r="J560" s="14">
        <f t="shared" ca="1" si="41"/>
        <v>0</v>
      </c>
      <c r="K560" s="4">
        <f t="shared" ca="1" si="39"/>
        <v>0</v>
      </c>
      <c r="L560" s="73">
        <f t="shared" ca="1" si="38"/>
        <v>0</v>
      </c>
      <c r="M560" s="6">
        <f t="shared" si="40"/>
        <v>1</v>
      </c>
      <c r="N560">
        <v>0</v>
      </c>
    </row>
    <row r="561" spans="1:17">
      <c r="B561" s="4" t="s">
        <v>747</v>
      </c>
      <c r="C561" s="6">
        <v>0</v>
      </c>
      <c r="D561" s="5"/>
      <c r="F561" s="14"/>
      <c r="I561" s="4" t="s">
        <v>747</v>
      </c>
      <c r="J561" s="14">
        <f t="shared" ca="1" si="41"/>
        <v>0</v>
      </c>
      <c r="K561" s="4">
        <f t="shared" ca="1" si="39"/>
        <v>0</v>
      </c>
      <c r="L561" s="73">
        <f t="shared" ca="1" si="38"/>
        <v>0</v>
      </c>
      <c r="M561" s="6">
        <f t="shared" si="40"/>
        <v>1</v>
      </c>
      <c r="N561">
        <v>0</v>
      </c>
    </row>
    <row r="562" spans="1:17">
      <c r="A562" s="7"/>
      <c r="B562" s="4" t="s">
        <v>748</v>
      </c>
      <c r="C562" s="6">
        <v>0</v>
      </c>
      <c r="D562" s="5"/>
      <c r="F562" s="14"/>
      <c r="I562" s="4" t="s">
        <v>748</v>
      </c>
      <c r="J562" s="14">
        <f t="shared" ca="1" si="41"/>
        <v>0</v>
      </c>
      <c r="K562" s="4">
        <f t="shared" ca="1" si="39"/>
        <v>0</v>
      </c>
      <c r="L562" s="73">
        <f t="shared" ca="1" si="38"/>
        <v>0</v>
      </c>
      <c r="M562" s="6">
        <f t="shared" si="40"/>
        <v>1</v>
      </c>
      <c r="N562">
        <v>0</v>
      </c>
    </row>
    <row r="563" spans="1:17">
      <c r="B563" s="4" t="s">
        <v>749</v>
      </c>
      <c r="C563" s="6">
        <v>0</v>
      </c>
      <c r="D563" s="5"/>
      <c r="F563" s="14"/>
      <c r="I563" s="4" t="s">
        <v>749</v>
      </c>
      <c r="J563" s="14">
        <f t="shared" ca="1" si="41"/>
        <v>0</v>
      </c>
      <c r="K563" s="4">
        <f t="shared" ca="1" si="39"/>
        <v>0</v>
      </c>
      <c r="L563" s="73">
        <f t="shared" ca="1" si="38"/>
        <v>0</v>
      </c>
      <c r="M563" s="6">
        <f t="shared" si="40"/>
        <v>1</v>
      </c>
      <c r="N563">
        <v>0</v>
      </c>
    </row>
    <row r="564" spans="1:17">
      <c r="B564" s="4" t="s">
        <v>750</v>
      </c>
      <c r="C564" s="6">
        <v>0</v>
      </c>
      <c r="D564" s="5"/>
      <c r="F564" s="14"/>
      <c r="I564" s="4" t="s">
        <v>750</v>
      </c>
      <c r="J564" s="14">
        <f t="shared" ca="1" si="41"/>
        <v>0</v>
      </c>
      <c r="K564" s="4">
        <f t="shared" ca="1" si="39"/>
        <v>0</v>
      </c>
      <c r="L564" s="73">
        <f t="shared" ca="1" si="38"/>
        <v>0</v>
      </c>
      <c r="M564" s="6">
        <f t="shared" si="40"/>
        <v>1</v>
      </c>
      <c r="N564">
        <v>0</v>
      </c>
    </row>
    <row r="565" spans="1:17">
      <c r="A565" s="7"/>
      <c r="B565" s="4" t="s">
        <v>751</v>
      </c>
      <c r="C565" s="6">
        <v>0</v>
      </c>
      <c r="D565" s="5"/>
      <c r="F565" s="14"/>
      <c r="I565" s="4" t="s">
        <v>751</v>
      </c>
      <c r="J565" s="14">
        <f t="shared" ca="1" si="41"/>
        <v>0</v>
      </c>
      <c r="K565" s="4">
        <f t="shared" ca="1" si="39"/>
        <v>0</v>
      </c>
      <c r="L565" s="73">
        <f t="shared" ca="1" si="38"/>
        <v>0</v>
      </c>
      <c r="M565" s="6">
        <f t="shared" si="40"/>
        <v>1</v>
      </c>
      <c r="N565">
        <v>0</v>
      </c>
    </row>
    <row r="566" spans="1:17">
      <c r="A566" s="7"/>
      <c r="B566" s="4" t="s">
        <v>752</v>
      </c>
      <c r="C566" s="6">
        <v>0</v>
      </c>
      <c r="D566" s="5"/>
      <c r="I566" s="4" t="s">
        <v>752</v>
      </c>
      <c r="J566" s="14">
        <f t="shared" ca="1" si="41"/>
        <v>0</v>
      </c>
      <c r="K566" s="4">
        <f t="shared" ca="1" si="39"/>
        <v>0</v>
      </c>
      <c r="L566" s="73">
        <f t="shared" ca="1" si="38"/>
        <v>0</v>
      </c>
      <c r="M566" s="6">
        <f t="shared" si="40"/>
        <v>1</v>
      </c>
      <c r="N566">
        <v>0</v>
      </c>
    </row>
    <row r="567" spans="1:17">
      <c r="A567" s="7"/>
      <c r="B567" s="4" t="s">
        <v>753</v>
      </c>
      <c r="C567" s="6">
        <v>0</v>
      </c>
      <c r="D567" s="5"/>
      <c r="I567" s="4" t="s">
        <v>753</v>
      </c>
      <c r="J567" s="14">
        <f t="shared" ca="1" si="41"/>
        <v>0</v>
      </c>
      <c r="K567" s="4">
        <f t="shared" ca="1" si="39"/>
        <v>0</v>
      </c>
      <c r="L567" s="73">
        <f t="shared" ca="1" si="38"/>
        <v>0</v>
      </c>
      <c r="M567" s="6">
        <f t="shared" si="40"/>
        <v>1</v>
      </c>
      <c r="N567" s="2">
        <v>0</v>
      </c>
      <c r="O567" s="5"/>
      <c r="P567" s="2"/>
      <c r="Q567" s="2"/>
    </row>
    <row r="568" spans="1:17">
      <c r="A568" s="7"/>
      <c r="B568" s="13" t="s">
        <v>518</v>
      </c>
      <c r="C568" s="6">
        <v>0</v>
      </c>
      <c r="D568" s="5"/>
      <c r="I568" s="13" t="s">
        <v>518</v>
      </c>
      <c r="J568" s="14">
        <f t="shared" ca="1" si="41"/>
        <v>0</v>
      </c>
      <c r="K568" s="4">
        <f t="shared" ca="1" si="39"/>
        <v>0</v>
      </c>
      <c r="L568" s="73">
        <f t="shared" ca="1" si="38"/>
        <v>0</v>
      </c>
      <c r="M568" s="6">
        <f t="shared" si="40"/>
        <v>1</v>
      </c>
      <c r="N568" s="2">
        <v>0</v>
      </c>
      <c r="O568" s="5"/>
      <c r="P568" s="5"/>
      <c r="Q568" s="2"/>
    </row>
    <row r="569" spans="1:17">
      <c r="A569" s="7"/>
      <c r="B569" s="4" t="s">
        <v>754</v>
      </c>
      <c r="C569" s="6">
        <v>0</v>
      </c>
      <c r="D569" s="5"/>
      <c r="F569" s="14"/>
      <c r="I569" s="4" t="s">
        <v>754</v>
      </c>
      <c r="J569" s="14">
        <f t="shared" ca="1" si="41"/>
        <v>0</v>
      </c>
      <c r="K569" s="4">
        <f t="shared" ca="1" si="39"/>
        <v>0</v>
      </c>
      <c r="L569" s="73">
        <f t="shared" ref="L569:L601" ca="1" si="42">J569-K569</f>
        <v>0</v>
      </c>
      <c r="M569" s="6">
        <f t="shared" si="40"/>
        <v>1</v>
      </c>
      <c r="N569" s="2">
        <v>0</v>
      </c>
      <c r="O569" s="5"/>
      <c r="P569" s="5"/>
      <c r="Q569" s="2"/>
    </row>
    <row r="570" spans="1:17">
      <c r="A570" s="7"/>
      <c r="B570" s="4" t="s">
        <v>755</v>
      </c>
      <c r="C570" s="6">
        <v>0</v>
      </c>
      <c r="D570" s="5"/>
      <c r="F570" s="14"/>
      <c r="I570" s="4" t="s">
        <v>755</v>
      </c>
      <c r="J570" s="14">
        <f t="shared" ca="1" si="41"/>
        <v>0</v>
      </c>
      <c r="K570" s="4">
        <f t="shared" ca="1" si="39"/>
        <v>0</v>
      </c>
      <c r="L570" s="73">
        <f t="shared" ca="1" si="42"/>
        <v>0</v>
      </c>
      <c r="M570" s="6">
        <f t="shared" si="40"/>
        <v>1</v>
      </c>
      <c r="N570" s="2">
        <v>0</v>
      </c>
      <c r="O570" s="5"/>
      <c r="P570" s="5"/>
      <c r="Q570" s="2"/>
    </row>
    <row r="571" spans="1:17">
      <c r="B571" s="13" t="s">
        <v>519</v>
      </c>
      <c r="C571" s="6">
        <v>0</v>
      </c>
      <c r="D571" s="5"/>
      <c r="F571" s="14"/>
      <c r="I571" s="13" t="s">
        <v>519</v>
      </c>
      <c r="J571" s="14">
        <f t="shared" ca="1" si="41"/>
        <v>0</v>
      </c>
      <c r="K571" s="4">
        <f t="shared" ca="1" si="39"/>
        <v>0</v>
      </c>
      <c r="L571" s="73">
        <f t="shared" ca="1" si="42"/>
        <v>0</v>
      </c>
      <c r="M571" s="6">
        <f t="shared" si="40"/>
        <v>1</v>
      </c>
      <c r="N571" s="2">
        <v>0</v>
      </c>
      <c r="O571" s="5"/>
      <c r="P571" s="5"/>
      <c r="Q571" s="2"/>
    </row>
    <row r="572" spans="1:17">
      <c r="A572" s="7"/>
      <c r="B572" s="4" t="s">
        <v>756</v>
      </c>
      <c r="C572" s="6">
        <v>0</v>
      </c>
      <c r="D572" s="5"/>
      <c r="F572" s="14"/>
      <c r="I572" s="4" t="s">
        <v>756</v>
      </c>
      <c r="J572" s="14">
        <f t="shared" ca="1" si="41"/>
        <v>0</v>
      </c>
      <c r="K572" s="4">
        <f t="shared" ca="1" si="39"/>
        <v>0</v>
      </c>
      <c r="L572" s="73">
        <f t="shared" ca="1" si="42"/>
        <v>0</v>
      </c>
      <c r="M572" s="6">
        <f t="shared" si="40"/>
        <v>1</v>
      </c>
      <c r="N572" s="2">
        <v>0</v>
      </c>
      <c r="O572" s="5"/>
      <c r="P572" s="5"/>
      <c r="Q572" s="2"/>
    </row>
    <row r="573" spans="1:17">
      <c r="A573" s="7"/>
      <c r="B573" s="13" t="s">
        <v>520</v>
      </c>
      <c r="C573" s="6">
        <v>0</v>
      </c>
      <c r="D573" s="5"/>
      <c r="F573" s="14"/>
      <c r="I573" s="13" t="s">
        <v>520</v>
      </c>
      <c r="J573" s="14">
        <f t="shared" ca="1" si="41"/>
        <v>0</v>
      </c>
      <c r="K573" s="4">
        <f t="shared" ca="1" si="39"/>
        <v>0</v>
      </c>
      <c r="L573" s="73">
        <f t="shared" ca="1" si="42"/>
        <v>0</v>
      </c>
      <c r="M573" s="6">
        <f t="shared" si="40"/>
        <v>1</v>
      </c>
      <c r="N573">
        <v>0</v>
      </c>
      <c r="O573" s="5"/>
      <c r="P573" s="43"/>
      <c r="Q573" s="2"/>
    </row>
    <row r="574" spans="1:17">
      <c r="A574" s="7"/>
      <c r="B574" s="13" t="s">
        <v>521</v>
      </c>
      <c r="C574" s="6">
        <v>0</v>
      </c>
      <c r="D574" s="5"/>
      <c r="F574" s="14"/>
      <c r="I574" s="13" t="s">
        <v>521</v>
      </c>
      <c r="J574" s="14">
        <f t="shared" ca="1" si="41"/>
        <v>0</v>
      </c>
      <c r="K574" s="4">
        <f t="shared" ca="1" si="39"/>
        <v>0</v>
      </c>
      <c r="L574" s="73">
        <f t="shared" ca="1" si="42"/>
        <v>0</v>
      </c>
      <c r="M574" s="6">
        <f t="shared" si="40"/>
        <v>1</v>
      </c>
      <c r="N574">
        <v>0</v>
      </c>
      <c r="O574" s="5"/>
      <c r="P574" s="43"/>
      <c r="Q574" s="2"/>
    </row>
    <row r="575" spans="1:17">
      <c r="A575" s="7"/>
      <c r="B575" s="13" t="s">
        <v>522</v>
      </c>
      <c r="C575" s="6">
        <v>0</v>
      </c>
      <c r="D575" s="5"/>
      <c r="F575" s="14"/>
      <c r="I575" s="13" t="s">
        <v>522</v>
      </c>
      <c r="J575" s="14">
        <f t="shared" ca="1" si="41"/>
        <v>0</v>
      </c>
      <c r="K575" s="4">
        <f t="shared" ca="1" si="39"/>
        <v>0</v>
      </c>
      <c r="L575" s="73">
        <f t="shared" ca="1" si="42"/>
        <v>0</v>
      </c>
      <c r="M575" s="6">
        <f t="shared" si="40"/>
        <v>1</v>
      </c>
      <c r="N575">
        <v>0</v>
      </c>
      <c r="O575" s="5"/>
      <c r="P575" s="43"/>
      <c r="Q575" s="2"/>
    </row>
    <row r="576" spans="1:17">
      <c r="A576" s="7"/>
      <c r="B576" s="13" t="s">
        <v>523</v>
      </c>
      <c r="C576" s="6">
        <v>0</v>
      </c>
      <c r="D576" s="5"/>
      <c r="F576" s="14"/>
      <c r="I576" s="13" t="s">
        <v>523</v>
      </c>
      <c r="J576" s="14">
        <f t="shared" ca="1" si="41"/>
        <v>0</v>
      </c>
      <c r="K576" s="4">
        <f t="shared" ca="1" si="39"/>
        <v>0</v>
      </c>
      <c r="L576" s="73">
        <f t="shared" ca="1" si="42"/>
        <v>0</v>
      </c>
      <c r="M576" s="6">
        <f t="shared" si="40"/>
        <v>1</v>
      </c>
      <c r="N576">
        <v>0</v>
      </c>
      <c r="O576" s="5"/>
      <c r="P576" s="43"/>
      <c r="Q576" s="2"/>
    </row>
    <row r="577" spans="2:17">
      <c r="B577" s="13" t="s">
        <v>524</v>
      </c>
      <c r="C577" s="6">
        <v>0</v>
      </c>
      <c r="D577" s="5"/>
      <c r="F577" s="14"/>
      <c r="I577" s="13" t="s">
        <v>524</v>
      </c>
      <c r="J577" s="14">
        <f t="shared" ca="1" si="41"/>
        <v>0</v>
      </c>
      <c r="K577" s="4">
        <f t="shared" ca="1" si="39"/>
        <v>0</v>
      </c>
      <c r="L577" s="73">
        <f t="shared" ca="1" si="42"/>
        <v>0</v>
      </c>
      <c r="M577" s="6">
        <f t="shared" si="40"/>
        <v>1</v>
      </c>
      <c r="N577">
        <v>0</v>
      </c>
      <c r="O577" s="5"/>
      <c r="P577" s="43"/>
      <c r="Q577" s="2"/>
    </row>
    <row r="578" spans="2:17">
      <c r="B578" s="13" t="s">
        <v>525</v>
      </c>
      <c r="C578" s="6">
        <v>0</v>
      </c>
      <c r="D578" s="5"/>
      <c r="F578" s="14"/>
      <c r="I578" s="13" t="s">
        <v>525</v>
      </c>
      <c r="J578" s="14">
        <f t="shared" ca="1" si="41"/>
        <v>0</v>
      </c>
      <c r="K578" s="4">
        <f t="shared" ref="K578:K643" ca="1" si="43">SUMIF(F:G,I578,G:G)</f>
        <v>0</v>
      </c>
      <c r="L578" s="73">
        <f t="shared" ca="1" si="42"/>
        <v>0</v>
      </c>
      <c r="M578" s="6">
        <f t="shared" si="40"/>
        <v>1</v>
      </c>
      <c r="N578">
        <v>0</v>
      </c>
      <c r="O578" s="5"/>
      <c r="P578" s="43"/>
      <c r="Q578" s="2"/>
    </row>
    <row r="579" spans="2:17">
      <c r="B579" s="11" t="s">
        <v>760</v>
      </c>
      <c r="C579" s="6">
        <v>7</v>
      </c>
      <c r="D579" s="5"/>
      <c r="F579" s="14"/>
      <c r="I579" s="11" t="s">
        <v>760</v>
      </c>
      <c r="J579" s="14">
        <f t="shared" ca="1" si="41"/>
        <v>7</v>
      </c>
      <c r="K579" s="4">
        <f t="shared" ca="1" si="43"/>
        <v>0</v>
      </c>
      <c r="L579" s="73">
        <f t="shared" ca="1" si="42"/>
        <v>7</v>
      </c>
      <c r="M579" s="6">
        <f t="shared" si="40"/>
        <v>1</v>
      </c>
      <c r="N579">
        <v>7</v>
      </c>
      <c r="O579" s="5"/>
      <c r="P579" s="43"/>
      <c r="Q579" s="2"/>
    </row>
    <row r="580" spans="2:17">
      <c r="B580" s="13" t="s">
        <v>526</v>
      </c>
      <c r="C580" s="6">
        <v>0</v>
      </c>
      <c r="D580" s="5"/>
      <c r="F580" s="14"/>
      <c r="I580" s="13" t="s">
        <v>526</v>
      </c>
      <c r="J580" s="14">
        <f t="shared" ca="1" si="41"/>
        <v>0</v>
      </c>
      <c r="K580" s="4">
        <f t="shared" ca="1" si="43"/>
        <v>0</v>
      </c>
      <c r="L580" s="73">
        <f t="shared" ca="1" si="42"/>
        <v>0</v>
      </c>
      <c r="M580" s="6">
        <f t="shared" si="40"/>
        <v>1</v>
      </c>
      <c r="N580">
        <v>0</v>
      </c>
      <c r="O580" s="5"/>
      <c r="P580" s="43"/>
      <c r="Q580" s="2"/>
    </row>
    <row r="581" spans="2:17">
      <c r="B581" s="4" t="s">
        <v>757</v>
      </c>
      <c r="C581" s="6">
        <v>0</v>
      </c>
      <c r="D581" s="5"/>
      <c r="F581" s="14"/>
      <c r="I581" s="4" t="s">
        <v>757</v>
      </c>
      <c r="J581" s="14">
        <f t="shared" ca="1" si="41"/>
        <v>0</v>
      </c>
      <c r="K581" s="4">
        <f t="shared" ca="1" si="43"/>
        <v>0</v>
      </c>
      <c r="L581" s="73">
        <f t="shared" ca="1" si="42"/>
        <v>0</v>
      </c>
      <c r="M581" s="6">
        <f t="shared" ref="M581:M643" si="44">MATCH(I581,B581,0)</f>
        <v>1</v>
      </c>
      <c r="N581">
        <v>0</v>
      </c>
      <c r="O581" s="5"/>
      <c r="P581" s="5"/>
      <c r="Q581" s="2"/>
    </row>
    <row r="582" spans="2:17">
      <c r="B582" s="13" t="s">
        <v>16</v>
      </c>
      <c r="C582" s="6">
        <v>27</v>
      </c>
      <c r="D582" s="5"/>
      <c r="F582" s="14"/>
      <c r="I582" s="13" t="s">
        <v>16</v>
      </c>
      <c r="J582" s="14">
        <f t="shared" ca="1" si="41"/>
        <v>27</v>
      </c>
      <c r="K582" s="4">
        <f t="shared" ca="1" si="43"/>
        <v>0</v>
      </c>
      <c r="L582" s="73">
        <f t="shared" ca="1" si="42"/>
        <v>27</v>
      </c>
      <c r="M582" s="6">
        <f t="shared" si="44"/>
        <v>1</v>
      </c>
      <c r="N582">
        <v>27</v>
      </c>
      <c r="O582" s="5"/>
      <c r="P582" s="5"/>
      <c r="Q582" s="2"/>
    </row>
    <row r="583" spans="2:17">
      <c r="B583" s="13" t="s">
        <v>527</v>
      </c>
      <c r="C583" s="6">
        <v>0</v>
      </c>
      <c r="D583" s="5"/>
      <c r="F583" s="14"/>
      <c r="I583" s="13" t="s">
        <v>527</v>
      </c>
      <c r="J583" s="14">
        <f t="shared" ca="1" si="41"/>
        <v>0</v>
      </c>
      <c r="K583" s="4">
        <f t="shared" ca="1" si="43"/>
        <v>0</v>
      </c>
      <c r="L583" s="73">
        <f t="shared" ca="1" si="42"/>
        <v>0</v>
      </c>
      <c r="M583" s="6">
        <f t="shared" si="44"/>
        <v>1</v>
      </c>
      <c r="N583" s="2">
        <v>0</v>
      </c>
      <c r="O583" s="5"/>
      <c r="P583" s="2"/>
      <c r="Q583" s="2"/>
    </row>
    <row r="584" spans="2:17">
      <c r="B584" s="13" t="s">
        <v>528</v>
      </c>
      <c r="C584" s="6">
        <v>2</v>
      </c>
      <c r="D584" s="5"/>
      <c r="F584" s="14"/>
      <c r="I584" s="13" t="s">
        <v>528</v>
      </c>
      <c r="J584" s="14">
        <f t="shared" ca="1" si="41"/>
        <v>2</v>
      </c>
      <c r="K584" s="4">
        <f t="shared" ca="1" si="43"/>
        <v>0</v>
      </c>
      <c r="L584" s="73">
        <f t="shared" ca="1" si="42"/>
        <v>2</v>
      </c>
      <c r="M584" s="6">
        <f t="shared" si="44"/>
        <v>1</v>
      </c>
      <c r="N584" s="2">
        <v>2</v>
      </c>
      <c r="O584" s="45"/>
      <c r="P584" s="5"/>
      <c r="Q584" s="2"/>
    </row>
    <row r="585" spans="2:17">
      <c r="B585" s="4" t="s">
        <v>758</v>
      </c>
      <c r="C585" s="6">
        <v>0</v>
      </c>
      <c r="D585" s="5"/>
      <c r="F585" s="14"/>
      <c r="I585" s="4" t="s">
        <v>758</v>
      </c>
      <c r="J585" s="14">
        <f t="shared" ca="1" si="41"/>
        <v>0</v>
      </c>
      <c r="K585" s="4">
        <f t="shared" ca="1" si="43"/>
        <v>0</v>
      </c>
      <c r="L585" s="73">
        <f t="shared" ca="1" si="42"/>
        <v>0</v>
      </c>
      <c r="M585" s="6">
        <f t="shared" si="44"/>
        <v>1</v>
      </c>
      <c r="N585" s="2">
        <v>0</v>
      </c>
      <c r="O585" s="5"/>
      <c r="P585" s="5"/>
      <c r="Q585" s="2"/>
    </row>
    <row r="586" spans="2:17">
      <c r="B586" s="13" t="s">
        <v>697</v>
      </c>
      <c r="C586" s="6">
        <v>2</v>
      </c>
      <c r="D586" s="5"/>
      <c r="F586" s="14"/>
      <c r="I586" s="13" t="s">
        <v>697</v>
      </c>
      <c r="J586" s="14">
        <f t="shared" ca="1" si="41"/>
        <v>2</v>
      </c>
      <c r="K586" s="4">
        <f t="shared" ca="1" si="43"/>
        <v>0</v>
      </c>
      <c r="L586" s="73">
        <f t="shared" ca="1" si="42"/>
        <v>2</v>
      </c>
      <c r="M586" s="6">
        <f t="shared" si="44"/>
        <v>1</v>
      </c>
      <c r="N586" s="2">
        <v>2</v>
      </c>
      <c r="O586" s="5"/>
      <c r="P586" s="5"/>
      <c r="Q586" s="2"/>
    </row>
    <row r="587" spans="2:17">
      <c r="B587" s="13" t="s">
        <v>22</v>
      </c>
      <c r="C587" s="6">
        <v>0</v>
      </c>
      <c r="D587" s="5"/>
      <c r="F587" s="14"/>
      <c r="I587" s="13" t="s">
        <v>22</v>
      </c>
      <c r="J587" s="14">
        <f t="shared" ca="1" si="41"/>
        <v>0</v>
      </c>
      <c r="K587" s="4">
        <f t="shared" ca="1" si="43"/>
        <v>0</v>
      </c>
      <c r="L587" s="73">
        <f t="shared" ca="1" si="42"/>
        <v>0</v>
      </c>
      <c r="M587" s="6">
        <f t="shared" si="44"/>
        <v>1</v>
      </c>
      <c r="N587" s="2">
        <v>0</v>
      </c>
      <c r="O587" s="5"/>
      <c r="P587" s="5"/>
      <c r="Q587" s="2"/>
    </row>
    <row r="588" spans="2:17">
      <c r="B588" s="13" t="s">
        <v>529</v>
      </c>
      <c r="C588" s="6">
        <v>6</v>
      </c>
      <c r="D588" s="5"/>
      <c r="F588" s="14"/>
      <c r="I588" s="13" t="s">
        <v>529</v>
      </c>
      <c r="J588" s="14">
        <f t="shared" ref="J588:J643" ca="1" si="45">SUMIF(B:C,I588,C:C)</f>
        <v>6</v>
      </c>
      <c r="K588" s="4">
        <f t="shared" ca="1" si="43"/>
        <v>0</v>
      </c>
      <c r="L588" s="73">
        <f t="shared" ca="1" si="42"/>
        <v>6</v>
      </c>
      <c r="M588" s="6">
        <f t="shared" si="44"/>
        <v>1</v>
      </c>
      <c r="N588" s="2">
        <v>6</v>
      </c>
      <c r="O588" s="5"/>
      <c r="P588" s="5"/>
      <c r="Q588" s="2"/>
    </row>
    <row r="589" spans="2:17">
      <c r="B589" s="13" t="s">
        <v>262</v>
      </c>
      <c r="C589" s="6">
        <v>5</v>
      </c>
      <c r="D589" s="5"/>
      <c r="F589" s="14"/>
      <c r="I589" s="13" t="s">
        <v>262</v>
      </c>
      <c r="J589" s="14">
        <f t="shared" ca="1" si="45"/>
        <v>5</v>
      </c>
      <c r="K589" s="4">
        <f t="shared" ca="1" si="43"/>
        <v>3</v>
      </c>
      <c r="L589" s="73">
        <f t="shared" ca="1" si="42"/>
        <v>2</v>
      </c>
      <c r="M589" s="6">
        <f t="shared" si="44"/>
        <v>1</v>
      </c>
      <c r="N589">
        <v>5</v>
      </c>
    </row>
    <row r="590" spans="2:17">
      <c r="B590" s="13" t="s">
        <v>263</v>
      </c>
      <c r="C590" s="6">
        <v>0</v>
      </c>
      <c r="D590" s="5"/>
      <c r="F590" s="14"/>
      <c r="I590" s="13" t="s">
        <v>263</v>
      </c>
      <c r="J590" s="14">
        <f t="shared" ca="1" si="45"/>
        <v>0</v>
      </c>
      <c r="K590" s="4">
        <f t="shared" ca="1" si="43"/>
        <v>0</v>
      </c>
      <c r="L590" s="73">
        <f t="shared" ca="1" si="42"/>
        <v>0</v>
      </c>
      <c r="M590" s="6">
        <f t="shared" si="44"/>
        <v>1</v>
      </c>
      <c r="N590">
        <v>0</v>
      </c>
    </row>
    <row r="591" spans="2:17">
      <c r="B591" s="4" t="s">
        <v>759</v>
      </c>
      <c r="C591" s="6">
        <v>0</v>
      </c>
      <c r="D591" s="5"/>
      <c r="F591" s="14"/>
      <c r="I591" s="4" t="s">
        <v>759</v>
      </c>
      <c r="J591" s="14">
        <f t="shared" ca="1" si="45"/>
        <v>0</v>
      </c>
      <c r="K591" s="4">
        <f t="shared" ca="1" si="43"/>
        <v>0</v>
      </c>
      <c r="L591" s="73">
        <f t="shared" ca="1" si="42"/>
        <v>0</v>
      </c>
      <c r="M591" s="6">
        <f t="shared" si="44"/>
        <v>1</v>
      </c>
      <c r="N591">
        <v>0</v>
      </c>
    </row>
    <row r="592" spans="2:17">
      <c r="B592" s="13" t="s">
        <v>530</v>
      </c>
      <c r="C592" s="6">
        <v>14</v>
      </c>
      <c r="D592" s="5"/>
      <c r="F592" s="14"/>
      <c r="I592" s="13" t="s">
        <v>530</v>
      </c>
      <c r="J592" s="14">
        <f t="shared" ca="1" si="45"/>
        <v>14</v>
      </c>
      <c r="K592" s="4">
        <f t="shared" ca="1" si="43"/>
        <v>0</v>
      </c>
      <c r="L592" s="73">
        <f t="shared" ca="1" si="42"/>
        <v>14</v>
      </c>
      <c r="M592" s="6">
        <f t="shared" si="44"/>
        <v>1</v>
      </c>
      <c r="N592">
        <v>14</v>
      </c>
    </row>
    <row r="593" spans="1:15">
      <c r="B593" s="13" t="s">
        <v>531</v>
      </c>
      <c r="C593" s="6">
        <v>9</v>
      </c>
      <c r="D593" s="5"/>
      <c r="F593" s="14"/>
      <c r="I593" s="13" t="s">
        <v>531</v>
      </c>
      <c r="J593" s="14">
        <f t="shared" ca="1" si="45"/>
        <v>9</v>
      </c>
      <c r="K593" s="4">
        <f t="shared" ca="1" si="43"/>
        <v>0</v>
      </c>
      <c r="L593" s="73">
        <f t="shared" ca="1" si="42"/>
        <v>9</v>
      </c>
      <c r="M593" s="6">
        <f t="shared" si="44"/>
        <v>1</v>
      </c>
      <c r="N593">
        <v>9</v>
      </c>
    </row>
    <row r="594" spans="1:15">
      <c r="B594" s="74" t="s">
        <v>532</v>
      </c>
      <c r="C594" s="6">
        <v>0</v>
      </c>
      <c r="D594" s="5"/>
      <c r="F594" s="14"/>
      <c r="I594" s="74" t="s">
        <v>532</v>
      </c>
      <c r="J594" s="14">
        <f t="shared" ca="1" si="45"/>
        <v>0</v>
      </c>
      <c r="K594" s="4">
        <f t="shared" ca="1" si="43"/>
        <v>0</v>
      </c>
      <c r="L594" s="73">
        <f t="shared" ca="1" si="42"/>
        <v>0</v>
      </c>
      <c r="M594" s="6">
        <f t="shared" si="44"/>
        <v>1</v>
      </c>
      <c r="N594">
        <v>0</v>
      </c>
    </row>
    <row r="595" spans="1:15">
      <c r="B595" s="13" t="s">
        <v>533</v>
      </c>
      <c r="C595" s="6">
        <v>0</v>
      </c>
      <c r="D595" s="5"/>
      <c r="E595" s="97"/>
      <c r="F595" s="103"/>
      <c r="G595" s="100"/>
      <c r="I595" s="13" t="s">
        <v>533</v>
      </c>
      <c r="J595" s="14">
        <f t="shared" ca="1" si="45"/>
        <v>0</v>
      </c>
      <c r="K595" s="4">
        <f t="shared" ca="1" si="43"/>
        <v>0</v>
      </c>
      <c r="L595" s="73">
        <f t="shared" ca="1" si="42"/>
        <v>0</v>
      </c>
      <c r="M595" s="6">
        <f t="shared" si="44"/>
        <v>1</v>
      </c>
      <c r="N595">
        <v>0</v>
      </c>
    </row>
    <row r="596" spans="1:15">
      <c r="B596" s="13" t="s">
        <v>264</v>
      </c>
      <c r="C596" s="6">
        <v>1</v>
      </c>
      <c r="D596" s="5"/>
      <c r="E596" s="97"/>
      <c r="F596" s="103"/>
      <c r="G596" s="100"/>
      <c r="I596" s="13" t="s">
        <v>264</v>
      </c>
      <c r="J596" s="14">
        <f t="shared" ca="1" si="45"/>
        <v>1</v>
      </c>
      <c r="K596" s="4">
        <f t="shared" ca="1" si="43"/>
        <v>0</v>
      </c>
      <c r="L596" s="73">
        <f t="shared" ca="1" si="42"/>
        <v>1</v>
      </c>
      <c r="M596" s="6">
        <f t="shared" si="44"/>
        <v>1</v>
      </c>
      <c r="N596">
        <v>0</v>
      </c>
    </row>
    <row r="597" spans="1:15" s="99" customFormat="1">
      <c r="A597" s="97"/>
      <c r="B597" s="13" t="s">
        <v>815</v>
      </c>
      <c r="C597" s="6">
        <v>0</v>
      </c>
      <c r="D597" s="5"/>
      <c r="E597" s="97"/>
      <c r="F597" s="103"/>
      <c r="G597" s="100"/>
      <c r="I597" s="13" t="s">
        <v>815</v>
      </c>
      <c r="J597" s="103">
        <f t="shared" ca="1" si="45"/>
        <v>0</v>
      </c>
      <c r="K597" s="100">
        <f t="shared" ca="1" si="43"/>
        <v>0</v>
      </c>
      <c r="L597" s="101">
        <f t="shared" ref="L597:L598" ca="1" si="46">J597-K597</f>
        <v>0</v>
      </c>
      <c r="M597" s="6">
        <f t="shared" si="44"/>
        <v>1</v>
      </c>
      <c r="N597" s="99">
        <v>0</v>
      </c>
      <c r="O597" s="6"/>
    </row>
    <row r="598" spans="1:15" s="99" customFormat="1">
      <c r="A598" s="97"/>
      <c r="B598" s="13" t="s">
        <v>814</v>
      </c>
      <c r="C598" s="6">
        <v>0</v>
      </c>
      <c r="D598" s="5"/>
      <c r="E598" s="1"/>
      <c r="F598" s="14"/>
      <c r="G598" s="4"/>
      <c r="I598" s="13" t="s">
        <v>814</v>
      </c>
      <c r="J598" s="103">
        <f t="shared" ca="1" si="45"/>
        <v>0</v>
      </c>
      <c r="K598" s="100">
        <f t="shared" ca="1" si="43"/>
        <v>0</v>
      </c>
      <c r="L598" s="101">
        <f t="shared" ca="1" si="46"/>
        <v>0</v>
      </c>
      <c r="M598" s="6">
        <f t="shared" si="44"/>
        <v>1</v>
      </c>
      <c r="N598" s="99">
        <v>0</v>
      </c>
      <c r="O598" s="6"/>
    </row>
    <row r="599" spans="1:15" s="99" customFormat="1">
      <c r="A599" s="97"/>
      <c r="B599" s="13" t="s">
        <v>816</v>
      </c>
      <c r="C599" s="6">
        <v>0</v>
      </c>
      <c r="D599" s="5"/>
      <c r="E599" s="1"/>
      <c r="F599" s="14"/>
      <c r="G599" s="4"/>
      <c r="I599" s="13" t="s">
        <v>816</v>
      </c>
      <c r="J599" s="103">
        <f t="shared" ca="1" si="45"/>
        <v>0</v>
      </c>
      <c r="K599" s="100">
        <f t="shared" ca="1" si="43"/>
        <v>0</v>
      </c>
      <c r="L599" s="101">
        <f t="shared" ref="L599" ca="1" si="47">J599-K599</f>
        <v>0</v>
      </c>
      <c r="M599" s="6">
        <f t="shared" si="44"/>
        <v>1</v>
      </c>
      <c r="N599" s="99">
        <v>0</v>
      </c>
      <c r="O599" s="6"/>
    </row>
    <row r="600" spans="1:15">
      <c r="B600" s="13" t="s">
        <v>534</v>
      </c>
      <c r="C600" s="6">
        <v>30</v>
      </c>
      <c r="D600" s="5"/>
      <c r="F600" s="14"/>
      <c r="I600" s="13" t="s">
        <v>534</v>
      </c>
      <c r="J600" s="14">
        <f t="shared" ca="1" si="45"/>
        <v>30</v>
      </c>
      <c r="K600" s="4">
        <f t="shared" ca="1" si="43"/>
        <v>0</v>
      </c>
      <c r="L600" s="73">
        <f t="shared" ca="1" si="42"/>
        <v>30</v>
      </c>
      <c r="M600" s="6">
        <f t="shared" si="44"/>
        <v>1</v>
      </c>
      <c r="N600">
        <v>30</v>
      </c>
    </row>
    <row r="601" spans="1:15">
      <c r="B601" s="13" t="s">
        <v>535</v>
      </c>
      <c r="C601" s="6">
        <v>26</v>
      </c>
      <c r="D601" s="5"/>
      <c r="F601" s="14"/>
      <c r="I601" s="13" t="s">
        <v>535</v>
      </c>
      <c r="J601" s="14">
        <f t="shared" ca="1" si="45"/>
        <v>26</v>
      </c>
      <c r="K601" s="4">
        <f t="shared" ca="1" si="43"/>
        <v>0</v>
      </c>
      <c r="L601" s="73">
        <f t="shared" ca="1" si="42"/>
        <v>26</v>
      </c>
      <c r="M601" s="6">
        <f t="shared" si="44"/>
        <v>1</v>
      </c>
      <c r="N601">
        <v>26</v>
      </c>
    </row>
    <row r="602" spans="1:15">
      <c r="B602" s="13" t="s">
        <v>536</v>
      </c>
      <c r="C602" s="6">
        <v>0</v>
      </c>
      <c r="D602" s="5"/>
      <c r="E602" s="97"/>
      <c r="F602" s="14"/>
      <c r="I602" s="13" t="s">
        <v>536</v>
      </c>
      <c r="J602" s="14">
        <f t="shared" ca="1" si="45"/>
        <v>0</v>
      </c>
      <c r="K602" s="100">
        <f t="shared" ca="1" si="43"/>
        <v>0</v>
      </c>
      <c r="L602" s="101">
        <f t="shared" ref="L602" ca="1" si="48">J602-K602</f>
        <v>0</v>
      </c>
      <c r="M602" s="6">
        <f t="shared" si="44"/>
        <v>1</v>
      </c>
      <c r="N602">
        <v>-10</v>
      </c>
    </row>
    <row r="603" spans="1:15">
      <c r="B603" s="13" t="s">
        <v>537</v>
      </c>
      <c r="C603" s="6">
        <v>18</v>
      </c>
      <c r="D603" s="5"/>
      <c r="E603" s="97"/>
      <c r="F603" s="14"/>
      <c r="I603" s="13" t="s">
        <v>537</v>
      </c>
      <c r="J603" s="14">
        <f t="shared" ca="1" si="45"/>
        <v>18</v>
      </c>
      <c r="K603" s="4">
        <f t="shared" ca="1" si="43"/>
        <v>0</v>
      </c>
      <c r="L603" s="73">
        <f t="shared" ref="L603:L610" ca="1" si="49">J603-K603</f>
        <v>18</v>
      </c>
      <c r="M603" s="6">
        <f t="shared" si="44"/>
        <v>1</v>
      </c>
      <c r="N603">
        <v>18</v>
      </c>
    </row>
    <row r="604" spans="1:15">
      <c r="B604" s="13" t="s">
        <v>538</v>
      </c>
      <c r="C604" s="6">
        <v>52</v>
      </c>
      <c r="D604" s="5"/>
      <c r="E604" s="97"/>
      <c r="F604" s="14"/>
      <c r="I604" s="13" t="s">
        <v>538</v>
      </c>
      <c r="J604" s="14">
        <f t="shared" ca="1" si="45"/>
        <v>52</v>
      </c>
      <c r="K604" s="4">
        <f t="shared" ca="1" si="43"/>
        <v>0</v>
      </c>
      <c r="L604" s="73">
        <f t="shared" ca="1" si="49"/>
        <v>52</v>
      </c>
      <c r="M604" s="6">
        <f t="shared" si="44"/>
        <v>1</v>
      </c>
      <c r="N604">
        <v>52</v>
      </c>
    </row>
    <row r="605" spans="1:15">
      <c r="B605" s="13" t="s">
        <v>539</v>
      </c>
      <c r="C605" s="6">
        <v>0</v>
      </c>
      <c r="D605" s="5"/>
      <c r="E605" s="97"/>
      <c r="F605" s="14"/>
      <c r="I605" s="13" t="s">
        <v>539</v>
      </c>
      <c r="J605" s="14">
        <f t="shared" ca="1" si="45"/>
        <v>0</v>
      </c>
      <c r="K605" s="4">
        <f t="shared" ca="1" si="43"/>
        <v>0</v>
      </c>
      <c r="L605" s="73">
        <f t="shared" ca="1" si="49"/>
        <v>0</v>
      </c>
      <c r="M605" s="6">
        <f t="shared" si="44"/>
        <v>1</v>
      </c>
      <c r="N605">
        <v>0</v>
      </c>
    </row>
    <row r="606" spans="1:15">
      <c r="B606" s="13" t="s">
        <v>540</v>
      </c>
      <c r="C606" s="6">
        <v>16</v>
      </c>
      <c r="D606" s="5"/>
      <c r="E606" s="97"/>
      <c r="F606" s="11"/>
      <c r="G606" s="11"/>
      <c r="I606" s="13" t="s">
        <v>540</v>
      </c>
      <c r="J606" s="14">
        <f t="shared" ca="1" si="45"/>
        <v>16</v>
      </c>
      <c r="K606" s="4">
        <f t="shared" ca="1" si="43"/>
        <v>1</v>
      </c>
      <c r="L606" s="73">
        <f t="shared" ca="1" si="49"/>
        <v>15</v>
      </c>
      <c r="M606" s="6">
        <f t="shared" si="44"/>
        <v>1</v>
      </c>
      <c r="N606">
        <v>16</v>
      </c>
    </row>
    <row r="607" spans="1:15">
      <c r="B607" s="13" t="s">
        <v>541</v>
      </c>
      <c r="C607" s="6">
        <v>0</v>
      </c>
      <c r="D607" s="5"/>
      <c r="E607" s="97"/>
      <c r="F607" s="11"/>
      <c r="G607" s="11"/>
      <c r="I607" s="13" t="s">
        <v>541</v>
      </c>
      <c r="J607" s="14">
        <f t="shared" ca="1" si="45"/>
        <v>0</v>
      </c>
      <c r="K607" s="4">
        <f t="shared" ca="1" si="43"/>
        <v>0</v>
      </c>
      <c r="L607" s="73">
        <f t="shared" ca="1" si="49"/>
        <v>0</v>
      </c>
      <c r="M607" s="6">
        <f t="shared" si="44"/>
        <v>1</v>
      </c>
      <c r="N607">
        <v>0</v>
      </c>
    </row>
    <row r="608" spans="1:15">
      <c r="B608" s="13" t="s">
        <v>542</v>
      </c>
      <c r="C608" s="6">
        <v>0</v>
      </c>
      <c r="D608" s="5"/>
      <c r="E608" s="97"/>
      <c r="F608" s="11"/>
      <c r="G608" s="11"/>
      <c r="I608" s="13" t="s">
        <v>542</v>
      </c>
      <c r="J608" s="14">
        <f t="shared" ca="1" si="45"/>
        <v>0</v>
      </c>
      <c r="K608" s="4">
        <f t="shared" ca="1" si="43"/>
        <v>0</v>
      </c>
      <c r="L608" s="73">
        <f t="shared" ca="1" si="49"/>
        <v>0</v>
      </c>
      <c r="M608" s="6">
        <f t="shared" si="44"/>
        <v>1</v>
      </c>
      <c r="N608">
        <v>-2</v>
      </c>
    </row>
    <row r="609" spans="1:15">
      <c r="A609" s="48"/>
      <c r="B609" s="13" t="s">
        <v>543</v>
      </c>
      <c r="C609" s="99">
        <v>54</v>
      </c>
      <c r="D609" s="5"/>
      <c r="E609" s="97"/>
      <c r="F609" s="14"/>
      <c r="H609" s="22"/>
      <c r="I609" s="13" t="s">
        <v>543</v>
      </c>
      <c r="J609" s="14">
        <f t="shared" ca="1" si="45"/>
        <v>54</v>
      </c>
      <c r="K609" s="4">
        <f t="shared" ca="1" si="43"/>
        <v>0</v>
      </c>
      <c r="L609" s="73">
        <f t="shared" ca="1" si="49"/>
        <v>54</v>
      </c>
      <c r="M609" s="6">
        <f t="shared" si="44"/>
        <v>1</v>
      </c>
      <c r="N609">
        <v>54</v>
      </c>
    </row>
    <row r="610" spans="1:15">
      <c r="A610" s="48"/>
      <c r="B610" s="13" t="s">
        <v>544</v>
      </c>
      <c r="C610" s="99">
        <v>0</v>
      </c>
      <c r="D610" s="5"/>
      <c r="E610" s="97"/>
      <c r="F610" s="14"/>
      <c r="H610" s="22"/>
      <c r="I610" s="13" t="s">
        <v>544</v>
      </c>
      <c r="J610" s="14">
        <f t="shared" ca="1" si="45"/>
        <v>0</v>
      </c>
      <c r="K610" s="4">
        <f t="shared" ca="1" si="43"/>
        <v>0</v>
      </c>
      <c r="L610" s="73">
        <f t="shared" ca="1" si="49"/>
        <v>0</v>
      </c>
      <c r="M610" s="6">
        <f t="shared" si="44"/>
        <v>1</v>
      </c>
      <c r="N610">
        <v>0</v>
      </c>
    </row>
    <row r="611" spans="1:15">
      <c r="A611" s="48"/>
      <c r="B611" s="13" t="s">
        <v>545</v>
      </c>
      <c r="C611" s="99">
        <v>0</v>
      </c>
      <c r="D611" s="5"/>
      <c r="E611" s="97"/>
      <c r="H611" s="22"/>
      <c r="I611" s="13" t="s">
        <v>545</v>
      </c>
      <c r="J611" s="14">
        <f t="shared" ca="1" si="45"/>
        <v>0</v>
      </c>
      <c r="K611" s="4">
        <f t="shared" ca="1" si="43"/>
        <v>0</v>
      </c>
      <c r="L611" s="73">
        <f t="shared" ref="L611:L643" ca="1" si="50">J611-K611</f>
        <v>0</v>
      </c>
      <c r="M611" s="6">
        <f t="shared" si="44"/>
        <v>1</v>
      </c>
      <c r="N611">
        <v>0</v>
      </c>
    </row>
    <row r="612" spans="1:15">
      <c r="B612" s="13" t="s">
        <v>546</v>
      </c>
      <c r="C612" s="99">
        <v>14</v>
      </c>
      <c r="D612" s="5"/>
      <c r="E612" s="97"/>
      <c r="I612" s="13" t="s">
        <v>546</v>
      </c>
      <c r="J612" s="14">
        <f t="shared" ca="1" si="45"/>
        <v>14</v>
      </c>
      <c r="K612" s="4">
        <f t="shared" ca="1" si="43"/>
        <v>0</v>
      </c>
      <c r="L612" s="73">
        <f t="shared" ca="1" si="50"/>
        <v>14</v>
      </c>
      <c r="M612" s="6">
        <f t="shared" si="44"/>
        <v>1</v>
      </c>
      <c r="N612">
        <v>14</v>
      </c>
    </row>
    <row r="613" spans="1:15">
      <c r="B613" s="13" t="s">
        <v>547</v>
      </c>
      <c r="C613" s="99">
        <v>33</v>
      </c>
      <c r="D613" s="5"/>
      <c r="E613" s="97"/>
      <c r="I613" s="13" t="s">
        <v>547</v>
      </c>
      <c r="J613" s="14">
        <f t="shared" ca="1" si="45"/>
        <v>33</v>
      </c>
      <c r="K613" s="4">
        <f t="shared" ca="1" si="43"/>
        <v>0</v>
      </c>
      <c r="L613" s="73">
        <f t="shared" ca="1" si="50"/>
        <v>33</v>
      </c>
      <c r="M613" s="6">
        <f t="shared" si="44"/>
        <v>1</v>
      </c>
      <c r="N613">
        <v>33</v>
      </c>
    </row>
    <row r="614" spans="1:15">
      <c r="B614" s="13" t="s">
        <v>548</v>
      </c>
      <c r="C614" s="99">
        <v>43</v>
      </c>
      <c r="D614" s="5"/>
      <c r="E614" s="97"/>
      <c r="I614" s="13" t="s">
        <v>548</v>
      </c>
      <c r="J614" s="14">
        <f t="shared" ca="1" si="45"/>
        <v>43</v>
      </c>
      <c r="K614" s="4">
        <f t="shared" ca="1" si="43"/>
        <v>0</v>
      </c>
      <c r="L614" s="73">
        <f t="shared" ca="1" si="50"/>
        <v>43</v>
      </c>
      <c r="M614" s="6">
        <f t="shared" si="44"/>
        <v>1</v>
      </c>
      <c r="N614">
        <v>43</v>
      </c>
    </row>
    <row r="615" spans="1:15">
      <c r="B615" s="13" t="s">
        <v>549</v>
      </c>
      <c r="C615" s="99">
        <v>63</v>
      </c>
      <c r="D615" s="5"/>
      <c r="E615" s="97"/>
      <c r="I615" s="13" t="s">
        <v>549</v>
      </c>
      <c r="J615" s="14">
        <f t="shared" ca="1" si="45"/>
        <v>63</v>
      </c>
      <c r="K615" s="4">
        <f t="shared" ca="1" si="43"/>
        <v>0</v>
      </c>
      <c r="L615" s="73">
        <f t="shared" ca="1" si="50"/>
        <v>63</v>
      </c>
      <c r="M615" s="6">
        <f t="shared" si="44"/>
        <v>1</v>
      </c>
      <c r="N615">
        <v>63</v>
      </c>
    </row>
    <row r="616" spans="1:15">
      <c r="B616" s="13" t="s">
        <v>550</v>
      </c>
      <c r="C616" s="99">
        <v>32</v>
      </c>
      <c r="D616" s="5"/>
      <c r="E616" s="97"/>
      <c r="I616" s="13" t="s">
        <v>550</v>
      </c>
      <c r="J616" s="14">
        <f t="shared" ca="1" si="45"/>
        <v>32</v>
      </c>
      <c r="K616" s="4">
        <f t="shared" ca="1" si="43"/>
        <v>0</v>
      </c>
      <c r="L616" s="73">
        <f t="shared" ca="1" si="50"/>
        <v>32</v>
      </c>
      <c r="M616" s="6">
        <f t="shared" si="44"/>
        <v>1</v>
      </c>
      <c r="N616">
        <v>32</v>
      </c>
    </row>
    <row r="617" spans="1:15">
      <c r="B617" s="13" t="s">
        <v>551</v>
      </c>
      <c r="C617" s="99">
        <v>69</v>
      </c>
      <c r="D617" s="5"/>
      <c r="E617" s="97"/>
      <c r="F617" s="100"/>
      <c r="G617" s="100"/>
      <c r="I617" s="13" t="s">
        <v>551</v>
      </c>
      <c r="J617" s="14">
        <f t="shared" ca="1" si="45"/>
        <v>69</v>
      </c>
      <c r="K617" s="4">
        <f t="shared" ca="1" si="43"/>
        <v>0</v>
      </c>
      <c r="L617" s="73">
        <f t="shared" ca="1" si="50"/>
        <v>69</v>
      </c>
      <c r="M617" s="6">
        <f t="shared" si="44"/>
        <v>1</v>
      </c>
      <c r="N617">
        <v>69</v>
      </c>
    </row>
    <row r="618" spans="1:15">
      <c r="B618" s="13" t="s">
        <v>552</v>
      </c>
      <c r="C618" s="99">
        <v>0</v>
      </c>
      <c r="D618" s="5"/>
      <c r="E618" s="97"/>
      <c r="I618" s="13" t="s">
        <v>552</v>
      </c>
      <c r="J618" s="14">
        <f t="shared" ca="1" si="45"/>
        <v>0</v>
      </c>
      <c r="K618" s="4">
        <f t="shared" ca="1" si="43"/>
        <v>0</v>
      </c>
      <c r="L618" s="73">
        <f t="shared" ca="1" si="50"/>
        <v>0</v>
      </c>
      <c r="M618" s="6">
        <f t="shared" si="44"/>
        <v>1</v>
      </c>
      <c r="N618">
        <v>0</v>
      </c>
    </row>
    <row r="619" spans="1:15" s="99" customFormat="1">
      <c r="A619" s="97"/>
      <c r="B619" s="100" t="s">
        <v>809</v>
      </c>
      <c r="C619" s="99">
        <v>0</v>
      </c>
      <c r="D619" s="5"/>
      <c r="E619" s="97"/>
      <c r="F619" s="4"/>
      <c r="G619" s="4"/>
      <c r="I619" s="100" t="s">
        <v>809</v>
      </c>
      <c r="J619" s="103">
        <f t="shared" ca="1" si="45"/>
        <v>0</v>
      </c>
      <c r="K619" s="100">
        <f t="shared" ca="1" si="43"/>
        <v>4</v>
      </c>
      <c r="L619" s="101">
        <f t="shared" ref="L619" ca="1" si="51">J619-K619</f>
        <v>-4</v>
      </c>
      <c r="M619" s="6">
        <f t="shared" si="44"/>
        <v>1</v>
      </c>
      <c r="N619" s="99">
        <v>-5</v>
      </c>
      <c r="O619" s="6"/>
    </row>
    <row r="620" spans="1:15">
      <c r="B620" s="13" t="s">
        <v>553</v>
      </c>
      <c r="C620" s="99">
        <v>0</v>
      </c>
      <c r="D620" s="5"/>
      <c r="E620" s="97"/>
      <c r="I620" s="13" t="s">
        <v>553</v>
      </c>
      <c r="J620" s="14">
        <f t="shared" ca="1" si="45"/>
        <v>0</v>
      </c>
      <c r="K620" s="4">
        <f t="shared" ca="1" si="43"/>
        <v>0</v>
      </c>
      <c r="L620" s="73">
        <f t="shared" ca="1" si="50"/>
        <v>0</v>
      </c>
      <c r="M620" s="6">
        <f t="shared" si="44"/>
        <v>1</v>
      </c>
      <c r="N620">
        <v>0</v>
      </c>
    </row>
    <row r="621" spans="1:15">
      <c r="B621" s="13" t="s">
        <v>554</v>
      </c>
      <c r="C621" s="99">
        <v>54</v>
      </c>
      <c r="D621" s="5"/>
      <c r="E621" s="97"/>
      <c r="I621" s="13" t="s">
        <v>554</v>
      </c>
      <c r="J621" s="14">
        <f t="shared" ca="1" si="45"/>
        <v>54</v>
      </c>
      <c r="K621" s="4">
        <f t="shared" ca="1" si="43"/>
        <v>1</v>
      </c>
      <c r="L621" s="73">
        <f t="shared" ca="1" si="50"/>
        <v>53</v>
      </c>
      <c r="M621" s="6">
        <f t="shared" si="44"/>
        <v>1</v>
      </c>
      <c r="N621">
        <v>54</v>
      </c>
    </row>
    <row r="622" spans="1:15">
      <c r="B622" s="13" t="s">
        <v>555</v>
      </c>
      <c r="C622" s="99">
        <v>0</v>
      </c>
      <c r="D622" s="5"/>
      <c r="E622" s="97"/>
      <c r="I622" s="13" t="s">
        <v>555</v>
      </c>
      <c r="J622" s="14">
        <f t="shared" ca="1" si="45"/>
        <v>0</v>
      </c>
      <c r="K622" s="4">
        <f t="shared" ca="1" si="43"/>
        <v>0</v>
      </c>
      <c r="L622" s="73">
        <f t="shared" ca="1" si="50"/>
        <v>0</v>
      </c>
      <c r="M622" s="6">
        <f t="shared" si="44"/>
        <v>1</v>
      </c>
      <c r="N622">
        <v>0</v>
      </c>
    </row>
    <row r="623" spans="1:15">
      <c r="B623" s="13" t="s">
        <v>556</v>
      </c>
      <c r="C623" s="99">
        <v>0</v>
      </c>
      <c r="D623" s="5"/>
      <c r="E623" s="97"/>
      <c r="I623" s="13" t="s">
        <v>556</v>
      </c>
      <c r="J623" s="14">
        <f t="shared" ca="1" si="45"/>
        <v>0</v>
      </c>
      <c r="K623" s="4">
        <f t="shared" ca="1" si="43"/>
        <v>0</v>
      </c>
      <c r="L623" s="73">
        <f t="shared" ca="1" si="50"/>
        <v>0</v>
      </c>
      <c r="M623" s="6">
        <f t="shared" si="44"/>
        <v>1</v>
      </c>
      <c r="N623">
        <v>0</v>
      </c>
    </row>
    <row r="624" spans="1:15">
      <c r="B624" s="13" t="s">
        <v>557</v>
      </c>
      <c r="C624" s="99">
        <v>104</v>
      </c>
      <c r="D624" s="5"/>
      <c r="E624" s="97"/>
      <c r="I624" s="13" t="s">
        <v>557</v>
      </c>
      <c r="J624" s="14">
        <f t="shared" ca="1" si="45"/>
        <v>104</v>
      </c>
      <c r="K624" s="4">
        <f t="shared" ca="1" si="43"/>
        <v>0</v>
      </c>
      <c r="L624" s="73">
        <f t="shared" ca="1" si="50"/>
        <v>104</v>
      </c>
      <c r="M624" s="6">
        <f t="shared" si="44"/>
        <v>1</v>
      </c>
      <c r="N624">
        <v>104</v>
      </c>
    </row>
    <row r="625" spans="2:14">
      <c r="B625" s="13" t="s">
        <v>558</v>
      </c>
      <c r="C625" s="99">
        <v>65</v>
      </c>
      <c r="D625" s="5"/>
      <c r="E625" s="97"/>
      <c r="I625" s="13" t="s">
        <v>558</v>
      </c>
      <c r="J625" s="14">
        <f t="shared" ca="1" si="45"/>
        <v>65</v>
      </c>
      <c r="K625" s="4">
        <f t="shared" ca="1" si="43"/>
        <v>1</v>
      </c>
      <c r="L625" s="73">
        <f t="shared" ca="1" si="50"/>
        <v>64</v>
      </c>
      <c r="M625" s="6">
        <f t="shared" si="44"/>
        <v>1</v>
      </c>
      <c r="N625">
        <v>65</v>
      </c>
    </row>
    <row r="626" spans="2:14">
      <c r="B626" s="13" t="s">
        <v>559</v>
      </c>
      <c r="C626" s="99">
        <v>0</v>
      </c>
      <c r="D626" s="5"/>
      <c r="E626" s="97"/>
      <c r="I626" s="13" t="s">
        <v>559</v>
      </c>
      <c r="J626" s="14">
        <f t="shared" ca="1" si="45"/>
        <v>0</v>
      </c>
      <c r="K626" s="4">
        <f t="shared" ca="1" si="43"/>
        <v>0</v>
      </c>
      <c r="L626" s="73">
        <f t="shared" ca="1" si="50"/>
        <v>0</v>
      </c>
      <c r="M626" s="6">
        <f t="shared" si="44"/>
        <v>1</v>
      </c>
      <c r="N626">
        <v>0</v>
      </c>
    </row>
    <row r="627" spans="2:14">
      <c r="B627" s="13" t="s">
        <v>560</v>
      </c>
      <c r="C627" s="99">
        <v>103</v>
      </c>
      <c r="D627" s="5"/>
      <c r="I627" s="13" t="s">
        <v>560</v>
      </c>
      <c r="J627" s="14">
        <f t="shared" ca="1" si="45"/>
        <v>103</v>
      </c>
      <c r="K627" s="4">
        <f t="shared" ca="1" si="43"/>
        <v>1</v>
      </c>
      <c r="L627" s="73">
        <f t="shared" ca="1" si="50"/>
        <v>102</v>
      </c>
      <c r="M627" s="6">
        <f t="shared" si="44"/>
        <v>1</v>
      </c>
      <c r="N627">
        <v>103</v>
      </c>
    </row>
    <row r="628" spans="2:14">
      <c r="B628" s="13" t="s">
        <v>561</v>
      </c>
      <c r="C628" s="99">
        <v>92</v>
      </c>
      <c r="D628" s="5"/>
      <c r="I628" s="13" t="s">
        <v>561</v>
      </c>
      <c r="J628" s="14">
        <f t="shared" ca="1" si="45"/>
        <v>92</v>
      </c>
      <c r="K628" s="4">
        <f t="shared" ca="1" si="43"/>
        <v>1</v>
      </c>
      <c r="L628" s="73">
        <f t="shared" ca="1" si="50"/>
        <v>91</v>
      </c>
      <c r="M628" s="6">
        <f t="shared" si="44"/>
        <v>1</v>
      </c>
      <c r="N628">
        <v>92</v>
      </c>
    </row>
    <row r="629" spans="2:14">
      <c r="B629" s="13" t="s">
        <v>265</v>
      </c>
      <c r="C629" s="99">
        <v>50</v>
      </c>
      <c r="D629" s="5"/>
      <c r="I629" s="13" t="s">
        <v>265</v>
      </c>
      <c r="J629" s="14">
        <f t="shared" ca="1" si="45"/>
        <v>50</v>
      </c>
      <c r="K629" s="4">
        <f t="shared" ca="1" si="43"/>
        <v>0</v>
      </c>
      <c r="L629" s="73">
        <f t="shared" ca="1" si="50"/>
        <v>50</v>
      </c>
      <c r="M629" s="6">
        <f t="shared" si="44"/>
        <v>1</v>
      </c>
      <c r="N629">
        <v>50</v>
      </c>
    </row>
    <row r="630" spans="2:14">
      <c r="B630" s="13" t="s">
        <v>266</v>
      </c>
      <c r="C630" s="99">
        <v>50</v>
      </c>
      <c r="D630" s="5"/>
      <c r="I630" s="13" t="s">
        <v>266</v>
      </c>
      <c r="J630" s="14">
        <f t="shared" ca="1" si="45"/>
        <v>50</v>
      </c>
      <c r="K630" s="4">
        <f t="shared" ca="1" si="43"/>
        <v>0</v>
      </c>
      <c r="L630" s="73">
        <f t="shared" ca="1" si="50"/>
        <v>50</v>
      </c>
      <c r="M630" s="6">
        <f t="shared" si="44"/>
        <v>1</v>
      </c>
      <c r="N630">
        <v>50</v>
      </c>
    </row>
    <row r="631" spans="2:14">
      <c r="B631" s="13" t="s">
        <v>267</v>
      </c>
      <c r="C631" s="99">
        <v>50</v>
      </c>
      <c r="D631" s="5"/>
      <c r="I631" s="13" t="s">
        <v>267</v>
      </c>
      <c r="J631" s="14">
        <f t="shared" ca="1" si="45"/>
        <v>50</v>
      </c>
      <c r="K631" s="4">
        <f t="shared" ca="1" si="43"/>
        <v>0</v>
      </c>
      <c r="L631" s="73">
        <f t="shared" ca="1" si="50"/>
        <v>50</v>
      </c>
      <c r="M631" s="6">
        <f t="shared" si="44"/>
        <v>1</v>
      </c>
      <c r="N631">
        <v>50</v>
      </c>
    </row>
    <row r="632" spans="2:14">
      <c r="B632" s="13" t="s">
        <v>268</v>
      </c>
      <c r="C632" s="99">
        <v>50</v>
      </c>
      <c r="D632" s="5"/>
      <c r="I632" s="13" t="s">
        <v>268</v>
      </c>
      <c r="J632" s="14">
        <f t="shared" ca="1" si="45"/>
        <v>50</v>
      </c>
      <c r="K632" s="4">
        <f t="shared" ca="1" si="43"/>
        <v>0</v>
      </c>
      <c r="L632" s="73">
        <f t="shared" ca="1" si="50"/>
        <v>50</v>
      </c>
      <c r="M632" s="6">
        <f t="shared" si="44"/>
        <v>1</v>
      </c>
      <c r="N632">
        <v>50</v>
      </c>
    </row>
    <row r="633" spans="2:14">
      <c r="B633" s="13" t="s">
        <v>562</v>
      </c>
      <c r="C633" s="99">
        <v>50</v>
      </c>
      <c r="D633" s="5"/>
      <c r="I633" s="13" t="s">
        <v>562</v>
      </c>
      <c r="J633" s="14">
        <f t="shared" ca="1" si="45"/>
        <v>50</v>
      </c>
      <c r="K633" s="4">
        <f t="shared" ca="1" si="43"/>
        <v>0</v>
      </c>
      <c r="L633" s="73">
        <f t="shared" ca="1" si="50"/>
        <v>50</v>
      </c>
      <c r="M633" s="6">
        <f t="shared" si="44"/>
        <v>1</v>
      </c>
      <c r="N633">
        <v>50</v>
      </c>
    </row>
    <row r="634" spans="2:14">
      <c r="B634" s="13" t="s">
        <v>563</v>
      </c>
      <c r="C634" s="99">
        <v>50</v>
      </c>
      <c r="D634" s="5"/>
      <c r="I634" s="13" t="s">
        <v>563</v>
      </c>
      <c r="J634" s="14">
        <f t="shared" ca="1" si="45"/>
        <v>50</v>
      </c>
      <c r="K634" s="4">
        <f t="shared" ca="1" si="43"/>
        <v>0</v>
      </c>
      <c r="L634" s="73">
        <f t="shared" ca="1" si="50"/>
        <v>50</v>
      </c>
      <c r="M634" s="6">
        <f t="shared" si="44"/>
        <v>1</v>
      </c>
      <c r="N634">
        <v>50</v>
      </c>
    </row>
    <row r="635" spans="2:14">
      <c r="B635" s="13" t="s">
        <v>678</v>
      </c>
      <c r="C635" s="99">
        <v>50</v>
      </c>
      <c r="D635" s="5"/>
      <c r="I635" s="13" t="s">
        <v>678</v>
      </c>
      <c r="J635" s="14">
        <f t="shared" ca="1" si="45"/>
        <v>50</v>
      </c>
      <c r="K635" s="4">
        <f t="shared" ca="1" si="43"/>
        <v>0</v>
      </c>
      <c r="L635" s="73">
        <f t="shared" ca="1" si="50"/>
        <v>50</v>
      </c>
      <c r="M635" s="6">
        <f t="shared" si="44"/>
        <v>1</v>
      </c>
      <c r="N635">
        <v>50</v>
      </c>
    </row>
    <row r="636" spans="2:14">
      <c r="B636" s="13" t="s">
        <v>269</v>
      </c>
      <c r="C636" s="99">
        <v>50</v>
      </c>
      <c r="D636" s="5"/>
      <c r="I636" s="13" t="s">
        <v>269</v>
      </c>
      <c r="J636" s="14">
        <f t="shared" ca="1" si="45"/>
        <v>50</v>
      </c>
      <c r="K636" s="4">
        <f t="shared" ca="1" si="43"/>
        <v>0</v>
      </c>
      <c r="L636" s="73">
        <f t="shared" ca="1" si="50"/>
        <v>50</v>
      </c>
      <c r="M636" s="6">
        <f t="shared" si="44"/>
        <v>1</v>
      </c>
      <c r="N636">
        <v>50</v>
      </c>
    </row>
    <row r="637" spans="2:14">
      <c r="B637" s="13" t="s">
        <v>270</v>
      </c>
      <c r="C637" s="99">
        <v>50</v>
      </c>
      <c r="D637" s="5"/>
      <c r="I637" s="13" t="s">
        <v>270</v>
      </c>
      <c r="J637" s="14">
        <f t="shared" ca="1" si="45"/>
        <v>50</v>
      </c>
      <c r="K637" s="4">
        <f t="shared" ca="1" si="43"/>
        <v>0</v>
      </c>
      <c r="L637" s="73">
        <f t="shared" ca="1" si="50"/>
        <v>50</v>
      </c>
      <c r="M637" s="6">
        <f t="shared" si="44"/>
        <v>1</v>
      </c>
      <c r="N637">
        <v>50</v>
      </c>
    </row>
    <row r="638" spans="2:14">
      <c r="B638" s="13" t="s">
        <v>271</v>
      </c>
      <c r="C638" s="99">
        <v>50</v>
      </c>
      <c r="D638" s="5"/>
      <c r="I638" s="13" t="s">
        <v>271</v>
      </c>
      <c r="J638" s="14">
        <f t="shared" ca="1" si="45"/>
        <v>50</v>
      </c>
      <c r="K638" s="4">
        <f t="shared" ca="1" si="43"/>
        <v>0</v>
      </c>
      <c r="L638" s="73">
        <f t="shared" ca="1" si="50"/>
        <v>50</v>
      </c>
      <c r="M638" s="6">
        <f t="shared" si="44"/>
        <v>1</v>
      </c>
      <c r="N638">
        <v>50</v>
      </c>
    </row>
    <row r="639" spans="2:14">
      <c r="B639" s="13" t="s">
        <v>564</v>
      </c>
      <c r="C639" s="99">
        <v>50</v>
      </c>
      <c r="D639" s="5"/>
      <c r="I639" s="13" t="s">
        <v>564</v>
      </c>
      <c r="J639" s="14">
        <f t="shared" ca="1" si="45"/>
        <v>50</v>
      </c>
      <c r="K639" s="4">
        <f t="shared" ca="1" si="43"/>
        <v>0</v>
      </c>
      <c r="L639" s="73">
        <f t="shared" ca="1" si="50"/>
        <v>50</v>
      </c>
      <c r="M639" s="6">
        <f t="shared" si="44"/>
        <v>1</v>
      </c>
      <c r="N639">
        <v>50</v>
      </c>
    </row>
    <row r="640" spans="2:14">
      <c r="B640" s="13" t="s">
        <v>272</v>
      </c>
      <c r="C640" s="99">
        <v>50</v>
      </c>
      <c r="D640" s="5"/>
      <c r="I640" s="13" t="s">
        <v>272</v>
      </c>
      <c r="J640" s="14">
        <f t="shared" ca="1" si="45"/>
        <v>50</v>
      </c>
      <c r="K640" s="4">
        <f t="shared" ca="1" si="43"/>
        <v>0</v>
      </c>
      <c r="L640" s="73">
        <f t="shared" ca="1" si="50"/>
        <v>50</v>
      </c>
      <c r="M640" s="6">
        <f t="shared" si="44"/>
        <v>1</v>
      </c>
      <c r="N640">
        <v>50</v>
      </c>
    </row>
    <row r="641" spans="1:14">
      <c r="B641" s="13" t="s">
        <v>273</v>
      </c>
      <c r="C641" s="99">
        <v>50</v>
      </c>
      <c r="D641" s="5"/>
      <c r="I641" s="13" t="s">
        <v>273</v>
      </c>
      <c r="J641" s="14">
        <f t="shared" ca="1" si="45"/>
        <v>50</v>
      </c>
      <c r="K641" s="4">
        <f t="shared" ca="1" si="43"/>
        <v>0</v>
      </c>
      <c r="L641" s="73">
        <f t="shared" ca="1" si="50"/>
        <v>50</v>
      </c>
      <c r="M641" s="6">
        <f t="shared" si="44"/>
        <v>1</v>
      </c>
      <c r="N641">
        <v>50</v>
      </c>
    </row>
    <row r="642" spans="1:14">
      <c r="B642" s="13" t="s">
        <v>274</v>
      </c>
      <c r="C642" s="99">
        <v>50</v>
      </c>
      <c r="D642" s="5"/>
      <c r="I642" s="13" t="s">
        <v>274</v>
      </c>
      <c r="J642" s="14">
        <f t="shared" ca="1" si="45"/>
        <v>50</v>
      </c>
      <c r="K642" s="4">
        <f t="shared" ca="1" si="43"/>
        <v>0</v>
      </c>
      <c r="L642" s="73">
        <f t="shared" ca="1" si="50"/>
        <v>50</v>
      </c>
      <c r="M642" s="6">
        <f t="shared" si="44"/>
        <v>1</v>
      </c>
      <c r="N642">
        <v>50</v>
      </c>
    </row>
    <row r="643" spans="1:14">
      <c r="B643" s="13" t="s">
        <v>275</v>
      </c>
      <c r="C643" s="99">
        <v>50</v>
      </c>
      <c r="D643" s="5"/>
      <c r="I643" s="13" t="s">
        <v>275</v>
      </c>
      <c r="J643" s="14">
        <f t="shared" ca="1" si="45"/>
        <v>50</v>
      </c>
      <c r="K643" s="4">
        <f t="shared" ca="1" si="43"/>
        <v>0</v>
      </c>
      <c r="L643" s="73">
        <f t="shared" ca="1" si="50"/>
        <v>50</v>
      </c>
      <c r="M643" s="6">
        <f t="shared" si="44"/>
        <v>1</v>
      </c>
      <c r="N643">
        <v>50</v>
      </c>
    </row>
    <row r="644" spans="1:14">
      <c r="A644" s="90"/>
      <c r="B644" s="102"/>
      <c r="C644" s="100"/>
      <c r="D644" s="79"/>
      <c r="I644" s="4"/>
      <c r="K644" s="4"/>
      <c r="L644" s="73"/>
    </row>
    <row r="645" spans="1:14">
      <c r="A645" s="95"/>
      <c r="B645" s="102"/>
      <c r="C645" s="100"/>
      <c r="K645" s="4"/>
      <c r="L645" s="73"/>
    </row>
    <row r="646" spans="1:14">
      <c r="A646" s="95"/>
      <c r="B646" s="102"/>
      <c r="C646" s="100"/>
    </row>
    <row r="647" spans="1:14">
      <c r="A647" s="98"/>
      <c r="B647" s="102"/>
      <c r="C647" s="100"/>
    </row>
    <row r="648" spans="1:14">
      <c r="A648" s="90"/>
      <c r="B648" s="102"/>
      <c r="C648" s="100"/>
    </row>
    <row r="649" spans="1:14">
      <c r="A649" s="90"/>
      <c r="B649" s="102"/>
      <c r="C649" s="100"/>
    </row>
    <row r="650" spans="1:14">
      <c r="A650" s="95"/>
      <c r="B650" s="102"/>
      <c r="C650" s="100"/>
    </row>
    <row r="651" spans="1:14">
      <c r="A651" s="95"/>
      <c r="B651" s="102"/>
      <c r="C651" s="100"/>
    </row>
    <row r="652" spans="1:14">
      <c r="A652" s="90"/>
      <c r="B652" s="102"/>
      <c r="C652" s="102"/>
    </row>
    <row r="653" spans="1:14">
      <c r="A653" s="98"/>
      <c r="B653" s="102"/>
      <c r="C653" s="102"/>
    </row>
    <row r="654" spans="1:14">
      <c r="A654" s="90"/>
      <c r="B654" s="102"/>
      <c r="C654" s="102"/>
    </row>
    <row r="655" spans="1:14">
      <c r="A655" s="90"/>
      <c r="B655" s="102"/>
      <c r="C655" s="102"/>
    </row>
    <row r="656" spans="1:14">
      <c r="A656" s="90"/>
      <c r="B656" s="102"/>
      <c r="C656" s="102"/>
    </row>
    <row r="657" spans="1:4">
      <c r="A657" s="90"/>
      <c r="B657" s="102"/>
      <c r="C657" s="102"/>
    </row>
    <row r="658" spans="1:4">
      <c r="A658" s="98"/>
      <c r="B658" s="102"/>
      <c r="C658" s="102"/>
    </row>
    <row r="659" spans="1:4">
      <c r="A659" s="95"/>
      <c r="B659" s="102"/>
      <c r="C659" s="102"/>
    </row>
    <row r="660" spans="1:4">
      <c r="A660" s="98"/>
      <c r="B660" s="102"/>
      <c r="C660" s="102"/>
    </row>
    <row r="661" spans="1:4">
      <c r="A661" s="100"/>
      <c r="B661" s="102"/>
      <c r="C661" s="102"/>
      <c r="D661" s="79"/>
    </row>
    <row r="662" spans="1:4">
      <c r="A662" s="98"/>
      <c r="B662" s="102"/>
      <c r="C662" s="102"/>
      <c r="D662" s="79"/>
    </row>
    <row r="663" spans="1:4">
      <c r="A663" s="100"/>
      <c r="B663" s="102"/>
      <c r="C663" s="102"/>
    </row>
    <row r="664" spans="1:4">
      <c r="A664" s="100"/>
      <c r="B664" s="102"/>
      <c r="C664" s="102"/>
    </row>
    <row r="665" spans="1:4">
      <c r="A665" s="100"/>
      <c r="B665" s="102"/>
      <c r="C665" s="102"/>
    </row>
    <row r="666" spans="1:4">
      <c r="A666" s="100"/>
      <c r="B666" s="102"/>
      <c r="C666" s="102"/>
    </row>
    <row r="667" spans="1:4">
      <c r="A667" s="98"/>
      <c r="B667" s="102"/>
      <c r="C667" s="102"/>
    </row>
    <row r="668" spans="1:4">
      <c r="A668" s="98"/>
      <c r="B668" s="102"/>
      <c r="C668" s="102"/>
    </row>
    <row r="669" spans="1:4">
      <c r="A669" s="98"/>
      <c r="B669" s="102"/>
      <c r="C669" s="102"/>
    </row>
    <row r="670" spans="1:4">
      <c r="A670" s="98"/>
      <c r="B670" s="102"/>
      <c r="C670" s="102"/>
    </row>
    <row r="671" spans="1:4">
      <c r="A671" s="100"/>
      <c r="B671" s="102"/>
      <c r="C671" s="100"/>
    </row>
    <row r="672" spans="1:4">
      <c r="A672" s="100"/>
      <c r="B672" s="102"/>
      <c r="C672" s="100"/>
    </row>
    <row r="673" spans="2:2">
      <c r="B673" s="18"/>
    </row>
    <row r="674" spans="2:2">
      <c r="B674" s="18"/>
    </row>
    <row r="675" spans="2:2">
      <c r="B675" s="18"/>
    </row>
    <row r="676" spans="2:2">
      <c r="B676" s="36"/>
    </row>
    <row r="677" spans="2:2">
      <c r="B677" s="36"/>
    </row>
  </sheetData>
  <autoFilter ref="A1:C643"/>
  <sortState ref="A2:L632">
    <sortCondition ref="B2"/>
  </sortState>
  <dataValidations count="1">
    <dataValidation allowBlank="1" showInputMessage="1" showErrorMessage="1" promptTitle="Vendor SKU" prompt="This is a unique identifier defined by you the supplier for your product." sqref="F374 B2:B4 I2:I4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675"/>
  <sheetViews>
    <sheetView topLeftCell="A132" zoomScale="70" zoomScaleNormal="70" workbookViewId="0">
      <selection activeCell="I149" sqref="I149"/>
    </sheetView>
  </sheetViews>
  <sheetFormatPr defaultRowHeight="21"/>
  <cols>
    <col min="1" max="1" width="18" style="1" bestFit="1" customWidth="1"/>
    <col min="2" max="2" width="32.42578125" style="14" bestFit="1" customWidth="1"/>
    <col min="3" max="3" width="20.28515625" style="4" customWidth="1"/>
    <col min="4" max="4" width="23.5703125" style="79" customWidth="1"/>
    <col min="5" max="5" width="24.85546875" style="1" bestFit="1" customWidth="1"/>
    <col min="6" max="6" width="31.28515625" style="4" bestFit="1" customWidth="1"/>
    <col min="7" max="7" width="17.5703125" style="4" customWidth="1"/>
    <col min="8" max="8" width="17.7109375" style="79" customWidth="1"/>
    <col min="9" max="9" width="32.42578125" style="14" bestFit="1" customWidth="1"/>
    <col min="10" max="10" width="28" style="14" bestFit="1" customWidth="1"/>
    <col min="11" max="11" width="29.7109375" style="1" bestFit="1" customWidth="1"/>
    <col min="12" max="12" width="21.42578125" style="35" customWidth="1"/>
    <col min="13" max="13" width="17" style="79" customWidth="1"/>
    <col min="14" max="14" width="9.140625" style="79"/>
    <col min="15" max="15" width="31.28515625" style="6" bestFit="1" customWidth="1"/>
    <col min="16" max="16384" width="9.140625" style="79"/>
  </cols>
  <sheetData>
    <row r="1" spans="1:17" ht="22.5" customHeight="1">
      <c r="A1" s="8" t="s">
        <v>2</v>
      </c>
      <c r="B1" s="15" t="s">
        <v>19</v>
      </c>
      <c r="C1" s="8" t="s">
        <v>3</v>
      </c>
      <c r="E1" s="8" t="s">
        <v>4</v>
      </c>
      <c r="F1" s="8" t="s">
        <v>693</v>
      </c>
      <c r="G1" s="8" t="s">
        <v>3</v>
      </c>
      <c r="H1" s="9"/>
      <c r="I1" s="15" t="s">
        <v>19</v>
      </c>
      <c r="J1" s="15" t="s">
        <v>5</v>
      </c>
      <c r="K1" s="8" t="s">
        <v>6</v>
      </c>
      <c r="L1" s="15" t="s">
        <v>7</v>
      </c>
    </row>
    <row r="2" spans="1:17">
      <c r="A2" s="7"/>
      <c r="B2" s="102" t="s">
        <v>282</v>
      </c>
      <c r="C2" s="100">
        <v>25</v>
      </c>
      <c r="D2" s="5"/>
      <c r="E2" s="96">
        <v>43374</v>
      </c>
      <c r="F2" s="102" t="s">
        <v>357</v>
      </c>
      <c r="G2" s="100">
        <v>2</v>
      </c>
      <c r="H2" s="6"/>
      <c r="I2" s="102" t="s">
        <v>282</v>
      </c>
      <c r="J2" s="100">
        <f t="shared" ref="J2:J33" ca="1" si="0">SUMIF(B:C,I2,C:C)</f>
        <v>25</v>
      </c>
      <c r="K2" s="100">
        <f t="shared" ref="K2:K33" ca="1" si="1">SUMIF(F:G,I2,G:G)</f>
        <v>2</v>
      </c>
      <c r="L2" s="101">
        <f t="shared" ref="L2:L33" ca="1" si="2">J2-K2</f>
        <v>23</v>
      </c>
      <c r="M2" s="6"/>
      <c r="O2" s="32"/>
    </row>
    <row r="3" spans="1:17">
      <c r="B3" s="102" t="s">
        <v>288</v>
      </c>
      <c r="C3" s="100">
        <v>4</v>
      </c>
      <c r="D3" s="5"/>
      <c r="E3" s="98"/>
      <c r="F3" s="102" t="s">
        <v>282</v>
      </c>
      <c r="G3" s="100">
        <v>1</v>
      </c>
      <c r="H3" s="6"/>
      <c r="I3" s="102" t="s">
        <v>288</v>
      </c>
      <c r="J3" s="100">
        <f t="shared" ca="1" si="0"/>
        <v>4</v>
      </c>
      <c r="K3" s="100">
        <f t="shared" ca="1" si="1"/>
        <v>1</v>
      </c>
      <c r="L3" s="101">
        <f t="shared" ca="1" si="2"/>
        <v>3</v>
      </c>
      <c r="M3" s="6"/>
    </row>
    <row r="4" spans="1:17">
      <c r="B4" s="102" t="s">
        <v>289</v>
      </c>
      <c r="C4" s="100">
        <v>4</v>
      </c>
      <c r="D4" s="5"/>
      <c r="E4" s="98"/>
      <c r="F4" s="107" t="s">
        <v>21</v>
      </c>
      <c r="G4" s="100">
        <v>1</v>
      </c>
      <c r="H4" s="6"/>
      <c r="I4" s="102" t="s">
        <v>289</v>
      </c>
      <c r="J4" s="100">
        <f t="shared" ca="1" si="0"/>
        <v>4</v>
      </c>
      <c r="K4" s="100">
        <f t="shared" ca="1" si="1"/>
        <v>1</v>
      </c>
      <c r="L4" s="101">
        <f t="shared" ca="1" si="2"/>
        <v>3</v>
      </c>
      <c r="M4" s="6"/>
    </row>
    <row r="5" spans="1:17">
      <c r="B5" s="102" t="s">
        <v>290</v>
      </c>
      <c r="C5" s="100">
        <v>2</v>
      </c>
      <c r="D5" s="5"/>
      <c r="E5" s="98"/>
      <c r="F5" s="102" t="s">
        <v>543</v>
      </c>
      <c r="G5" s="100">
        <v>1</v>
      </c>
      <c r="H5" s="6"/>
      <c r="I5" s="102" t="s">
        <v>290</v>
      </c>
      <c r="J5" s="100">
        <f t="shared" ca="1" si="0"/>
        <v>2</v>
      </c>
      <c r="K5" s="100">
        <f t="shared" ca="1" si="1"/>
        <v>0</v>
      </c>
      <c r="L5" s="101">
        <f t="shared" ca="1" si="2"/>
        <v>2</v>
      </c>
      <c r="M5" s="6"/>
      <c r="O5" s="32"/>
    </row>
    <row r="6" spans="1:17">
      <c r="A6" s="7"/>
      <c r="B6" s="102" t="s">
        <v>291</v>
      </c>
      <c r="C6" s="100">
        <v>0</v>
      </c>
      <c r="D6" s="5"/>
      <c r="E6" s="98"/>
      <c r="F6" s="102" t="s">
        <v>289</v>
      </c>
      <c r="G6" s="102">
        <v>1</v>
      </c>
      <c r="H6" s="6"/>
      <c r="I6" s="102" t="s">
        <v>291</v>
      </c>
      <c r="J6" s="100">
        <f t="shared" ca="1" si="0"/>
        <v>0</v>
      </c>
      <c r="K6" s="100">
        <f t="shared" ca="1" si="1"/>
        <v>0</v>
      </c>
      <c r="L6" s="101">
        <f t="shared" ca="1" si="2"/>
        <v>0</v>
      </c>
      <c r="M6" s="6"/>
      <c r="O6" s="32"/>
    </row>
    <row r="7" spans="1:17">
      <c r="B7" s="102" t="s">
        <v>293</v>
      </c>
      <c r="C7" s="100">
        <v>67</v>
      </c>
      <c r="D7" s="5"/>
      <c r="E7" s="97"/>
      <c r="F7" s="102" t="s">
        <v>699</v>
      </c>
      <c r="G7" s="100">
        <v>0.25</v>
      </c>
      <c r="I7" s="102" t="s">
        <v>293</v>
      </c>
      <c r="J7" s="100">
        <f t="shared" ca="1" si="0"/>
        <v>67</v>
      </c>
      <c r="K7" s="100">
        <f t="shared" ca="1" si="1"/>
        <v>3</v>
      </c>
      <c r="L7" s="101">
        <f t="shared" ca="1" si="2"/>
        <v>64</v>
      </c>
      <c r="M7" s="6"/>
      <c r="O7" s="32"/>
    </row>
    <row r="8" spans="1:17">
      <c r="B8" s="102" t="s">
        <v>294</v>
      </c>
      <c r="C8" s="100">
        <v>16</v>
      </c>
      <c r="D8" s="5"/>
      <c r="E8" s="97"/>
      <c r="F8" s="100" t="s">
        <v>147</v>
      </c>
      <c r="G8" s="100">
        <v>3</v>
      </c>
      <c r="H8" s="6"/>
      <c r="I8" s="102" t="s">
        <v>294</v>
      </c>
      <c r="J8" s="100">
        <f t="shared" ca="1" si="0"/>
        <v>16</v>
      </c>
      <c r="K8" s="100">
        <f t="shared" ca="1" si="1"/>
        <v>0</v>
      </c>
      <c r="L8" s="101">
        <f t="shared" ca="1" si="2"/>
        <v>16</v>
      </c>
      <c r="M8" s="6"/>
      <c r="O8" s="32"/>
    </row>
    <row r="9" spans="1:17">
      <c r="A9" s="7"/>
      <c r="B9" s="102" t="s">
        <v>295</v>
      </c>
      <c r="C9" s="100">
        <v>11</v>
      </c>
      <c r="D9" s="5"/>
      <c r="E9" s="97"/>
      <c r="F9" s="102" t="s">
        <v>295</v>
      </c>
      <c r="G9" s="100">
        <v>1</v>
      </c>
      <c r="H9" s="6"/>
      <c r="I9" s="102" t="s">
        <v>295</v>
      </c>
      <c r="J9" s="100">
        <f t="shared" ca="1" si="0"/>
        <v>11</v>
      </c>
      <c r="K9" s="100">
        <f t="shared" ca="1" si="1"/>
        <v>2</v>
      </c>
      <c r="L9" s="101">
        <f t="shared" ca="1" si="2"/>
        <v>9</v>
      </c>
      <c r="M9" s="6"/>
      <c r="O9" s="32"/>
    </row>
    <row r="10" spans="1:17">
      <c r="B10" s="102" t="s">
        <v>296</v>
      </c>
      <c r="C10" s="100">
        <v>46</v>
      </c>
      <c r="D10" s="5"/>
      <c r="E10" s="97"/>
      <c r="F10" s="102" t="s">
        <v>59</v>
      </c>
      <c r="G10" s="100">
        <v>2</v>
      </c>
      <c r="H10" s="6"/>
      <c r="I10" s="102" t="s">
        <v>296</v>
      </c>
      <c r="J10" s="100">
        <f t="shared" ca="1" si="0"/>
        <v>46</v>
      </c>
      <c r="K10" s="100">
        <f t="shared" ca="1" si="1"/>
        <v>0</v>
      </c>
      <c r="L10" s="101">
        <f t="shared" ca="1" si="2"/>
        <v>46</v>
      </c>
      <c r="M10" s="6"/>
    </row>
    <row r="11" spans="1:17" s="99" customFormat="1">
      <c r="A11" s="97"/>
      <c r="B11" s="102" t="s">
        <v>817</v>
      </c>
      <c r="C11" s="100">
        <v>14</v>
      </c>
      <c r="D11" s="5"/>
      <c r="E11" s="96">
        <v>43375</v>
      </c>
      <c r="F11" s="102" t="s">
        <v>543</v>
      </c>
      <c r="G11" s="100">
        <v>1</v>
      </c>
      <c r="H11" s="6"/>
      <c r="I11" s="102" t="s">
        <v>817</v>
      </c>
      <c r="J11" s="100">
        <f t="shared" ca="1" si="0"/>
        <v>14</v>
      </c>
      <c r="K11" s="100">
        <f t="shared" ca="1" si="1"/>
        <v>0</v>
      </c>
      <c r="L11" s="101">
        <f t="shared" ca="1" si="2"/>
        <v>14</v>
      </c>
      <c r="M11" s="6"/>
      <c r="O11" s="6"/>
    </row>
    <row r="12" spans="1:17" s="99" customFormat="1">
      <c r="A12" s="97"/>
      <c r="B12" s="102" t="s">
        <v>818</v>
      </c>
      <c r="C12" s="100">
        <v>17</v>
      </c>
      <c r="D12" s="5"/>
      <c r="E12" s="97"/>
      <c r="F12" s="107" t="s">
        <v>343</v>
      </c>
      <c r="G12" s="100">
        <v>1</v>
      </c>
      <c r="H12" s="6"/>
      <c r="I12" s="102" t="s">
        <v>818</v>
      </c>
      <c r="J12" s="100">
        <f t="shared" ca="1" si="0"/>
        <v>17</v>
      </c>
      <c r="K12" s="100">
        <f t="shared" ca="1" si="1"/>
        <v>0</v>
      </c>
      <c r="L12" s="101">
        <f t="shared" ca="1" si="2"/>
        <v>17</v>
      </c>
      <c r="M12" s="6"/>
      <c r="O12" s="6"/>
    </row>
    <row r="13" spans="1:17">
      <c r="B13" s="105" t="s">
        <v>694</v>
      </c>
      <c r="C13" s="100">
        <v>25</v>
      </c>
      <c r="D13" s="5"/>
      <c r="E13" s="97"/>
      <c r="F13" s="102" t="s">
        <v>295</v>
      </c>
      <c r="G13" s="100">
        <v>1</v>
      </c>
      <c r="H13" s="6"/>
      <c r="I13" s="105" t="s">
        <v>694</v>
      </c>
      <c r="J13" s="100">
        <f t="shared" ca="1" si="0"/>
        <v>25</v>
      </c>
      <c r="K13" s="100">
        <f t="shared" ca="1" si="1"/>
        <v>4</v>
      </c>
      <c r="L13" s="101">
        <f t="shared" ca="1" si="2"/>
        <v>21</v>
      </c>
      <c r="M13" s="6"/>
    </row>
    <row r="14" spans="1:17">
      <c r="B14" s="104" t="s">
        <v>77</v>
      </c>
      <c r="C14" s="100">
        <v>37</v>
      </c>
      <c r="D14" s="5"/>
      <c r="E14" s="97"/>
      <c r="F14" s="102" t="s">
        <v>546</v>
      </c>
      <c r="G14" s="100">
        <v>1</v>
      </c>
      <c r="I14" s="104" t="s">
        <v>77</v>
      </c>
      <c r="J14" s="100">
        <f t="shared" ca="1" si="0"/>
        <v>37</v>
      </c>
      <c r="K14" s="100">
        <f t="shared" ca="1" si="1"/>
        <v>0</v>
      </c>
      <c r="L14" s="101">
        <f t="shared" ca="1" si="2"/>
        <v>37</v>
      </c>
      <c r="M14" s="6"/>
      <c r="Q14" s="10"/>
    </row>
    <row r="15" spans="1:17">
      <c r="B15" s="102" t="s">
        <v>316</v>
      </c>
      <c r="C15" s="100">
        <v>11</v>
      </c>
      <c r="D15" s="5"/>
      <c r="E15" s="98"/>
      <c r="F15" s="100" t="s">
        <v>147</v>
      </c>
      <c r="G15" s="100">
        <v>1</v>
      </c>
      <c r="H15" s="6"/>
      <c r="I15" s="102" t="s">
        <v>316</v>
      </c>
      <c r="J15" s="100">
        <f t="shared" ca="1" si="0"/>
        <v>11</v>
      </c>
      <c r="K15" s="100">
        <f t="shared" ca="1" si="1"/>
        <v>7</v>
      </c>
      <c r="L15" s="101">
        <f t="shared" ca="1" si="2"/>
        <v>4</v>
      </c>
      <c r="M15" s="6"/>
    </row>
    <row r="16" spans="1:17">
      <c r="B16" s="102" t="s">
        <v>321</v>
      </c>
      <c r="C16" s="100">
        <v>9</v>
      </c>
      <c r="D16" s="5"/>
      <c r="E16" s="96"/>
      <c r="F16" s="102" t="s">
        <v>224</v>
      </c>
      <c r="G16" s="102">
        <v>1</v>
      </c>
      <c r="H16" s="6"/>
      <c r="I16" s="102" t="s">
        <v>321</v>
      </c>
      <c r="J16" s="100">
        <f t="shared" ca="1" si="0"/>
        <v>9</v>
      </c>
      <c r="K16" s="100">
        <f t="shared" ca="1" si="1"/>
        <v>0</v>
      </c>
      <c r="L16" s="101">
        <f t="shared" ca="1" si="2"/>
        <v>9</v>
      </c>
      <c r="M16" s="6"/>
    </row>
    <row r="17" spans="1:13">
      <c r="B17" s="104" t="s">
        <v>690</v>
      </c>
      <c r="C17" s="103">
        <v>26</v>
      </c>
      <c r="D17" s="5"/>
      <c r="E17" s="97"/>
      <c r="F17" s="102" t="s">
        <v>293</v>
      </c>
      <c r="G17" s="100">
        <v>1</v>
      </c>
      <c r="H17" s="6"/>
      <c r="I17" s="104" t="s">
        <v>690</v>
      </c>
      <c r="J17" s="100">
        <f t="shared" ca="1" si="0"/>
        <v>26</v>
      </c>
      <c r="K17" s="100">
        <f t="shared" ca="1" si="1"/>
        <v>26</v>
      </c>
      <c r="L17" s="101">
        <f t="shared" ca="1" si="2"/>
        <v>0</v>
      </c>
      <c r="M17" s="6"/>
    </row>
    <row r="18" spans="1:13">
      <c r="A18" s="7"/>
      <c r="B18" s="104" t="s">
        <v>329</v>
      </c>
      <c r="C18" s="103">
        <v>0</v>
      </c>
      <c r="D18" s="5"/>
      <c r="E18" s="97"/>
      <c r="F18" s="107" t="s">
        <v>21</v>
      </c>
      <c r="G18" s="100">
        <v>1</v>
      </c>
      <c r="H18" s="6"/>
      <c r="I18" s="104" t="s">
        <v>329</v>
      </c>
      <c r="J18" s="100">
        <f t="shared" ca="1" si="0"/>
        <v>0</v>
      </c>
      <c r="K18" s="100">
        <f t="shared" ca="1" si="1"/>
        <v>0</v>
      </c>
      <c r="L18" s="101">
        <f t="shared" ca="1" si="2"/>
        <v>0</v>
      </c>
      <c r="M18" s="6"/>
    </row>
    <row r="19" spans="1:13">
      <c r="B19" s="100" t="s">
        <v>330</v>
      </c>
      <c r="C19" s="103">
        <v>23</v>
      </c>
      <c r="D19" s="5"/>
      <c r="E19" s="98"/>
      <c r="F19" s="105" t="s">
        <v>694</v>
      </c>
      <c r="G19" s="102">
        <v>1</v>
      </c>
      <c r="H19" s="6"/>
      <c r="I19" s="100" t="s">
        <v>330</v>
      </c>
      <c r="J19" s="100">
        <f t="shared" ca="1" si="0"/>
        <v>23</v>
      </c>
      <c r="K19" s="100">
        <f t="shared" ca="1" si="1"/>
        <v>0</v>
      </c>
      <c r="L19" s="101">
        <f t="shared" ca="1" si="2"/>
        <v>23</v>
      </c>
      <c r="M19" s="6"/>
    </row>
    <row r="20" spans="1:13">
      <c r="B20" s="102" t="s">
        <v>625</v>
      </c>
      <c r="C20" s="100">
        <v>1</v>
      </c>
      <c r="D20" s="5"/>
      <c r="E20" s="98"/>
      <c r="F20" s="100" t="s">
        <v>158</v>
      </c>
      <c r="G20" s="100">
        <v>5</v>
      </c>
      <c r="H20" s="6"/>
      <c r="I20" s="102" t="s">
        <v>625</v>
      </c>
      <c r="J20" s="100">
        <f t="shared" ca="1" si="0"/>
        <v>1</v>
      </c>
      <c r="K20" s="100">
        <f t="shared" ca="1" si="1"/>
        <v>0</v>
      </c>
      <c r="L20" s="101">
        <f t="shared" ca="1" si="2"/>
        <v>1</v>
      </c>
      <c r="M20" s="6"/>
    </row>
    <row r="21" spans="1:13">
      <c r="B21" s="102" t="s">
        <v>80</v>
      </c>
      <c r="C21" s="103">
        <v>5</v>
      </c>
      <c r="D21" s="5"/>
      <c r="E21" s="98"/>
      <c r="F21" s="100" t="s">
        <v>40</v>
      </c>
      <c r="G21" s="100">
        <v>1</v>
      </c>
      <c r="I21" s="102" t="s">
        <v>80</v>
      </c>
      <c r="J21" s="100">
        <f t="shared" ca="1" si="0"/>
        <v>5</v>
      </c>
      <c r="K21" s="100">
        <f t="shared" ca="1" si="1"/>
        <v>0</v>
      </c>
      <c r="L21" s="101">
        <f t="shared" ca="1" si="2"/>
        <v>5</v>
      </c>
      <c r="M21" s="6"/>
    </row>
    <row r="22" spans="1:13">
      <c r="B22" s="103" t="s">
        <v>679</v>
      </c>
      <c r="C22" s="100">
        <v>10</v>
      </c>
      <c r="D22" s="5"/>
      <c r="E22" s="97"/>
      <c r="F22" s="104" t="s">
        <v>690</v>
      </c>
      <c r="G22" s="100">
        <v>1</v>
      </c>
      <c r="H22" s="6"/>
      <c r="I22" s="103" t="s">
        <v>679</v>
      </c>
      <c r="J22" s="100">
        <f t="shared" ca="1" si="0"/>
        <v>10</v>
      </c>
      <c r="K22" s="100">
        <f t="shared" ca="1" si="1"/>
        <v>0</v>
      </c>
      <c r="L22" s="101">
        <f t="shared" ca="1" si="2"/>
        <v>10</v>
      </c>
      <c r="M22" s="6"/>
    </row>
    <row r="23" spans="1:13">
      <c r="B23" s="102" t="s">
        <v>11</v>
      </c>
      <c r="C23" s="103">
        <v>69</v>
      </c>
      <c r="D23" s="5"/>
      <c r="E23" s="98"/>
      <c r="F23" s="104" t="s">
        <v>407</v>
      </c>
      <c r="G23" s="100">
        <v>1</v>
      </c>
      <c r="H23" s="6"/>
      <c r="I23" s="102" t="s">
        <v>11</v>
      </c>
      <c r="J23" s="100">
        <f t="shared" ca="1" si="0"/>
        <v>69</v>
      </c>
      <c r="K23" s="100">
        <f t="shared" ca="1" si="1"/>
        <v>25</v>
      </c>
      <c r="L23" s="101">
        <f t="shared" ca="1" si="2"/>
        <v>44</v>
      </c>
      <c r="M23" s="6"/>
    </row>
    <row r="24" spans="1:13">
      <c r="B24" s="103" t="s">
        <v>82</v>
      </c>
      <c r="C24" s="103">
        <v>0</v>
      </c>
      <c r="D24" s="5"/>
      <c r="E24" s="96"/>
      <c r="F24" s="102" t="s">
        <v>316</v>
      </c>
      <c r="G24" s="100">
        <v>1</v>
      </c>
      <c r="H24" s="6"/>
      <c r="I24" s="103" t="s">
        <v>82</v>
      </c>
      <c r="J24" s="100">
        <f t="shared" ca="1" si="0"/>
        <v>0</v>
      </c>
      <c r="K24" s="100">
        <f t="shared" ca="1" si="1"/>
        <v>0</v>
      </c>
      <c r="L24" s="101">
        <f t="shared" ca="1" si="2"/>
        <v>0</v>
      </c>
      <c r="M24" s="6"/>
    </row>
    <row r="25" spans="1:13">
      <c r="A25" s="7"/>
      <c r="B25" s="104" t="s">
        <v>25</v>
      </c>
      <c r="C25" s="103">
        <v>1</v>
      </c>
      <c r="D25" s="5"/>
      <c r="E25" s="98"/>
      <c r="F25" s="104" t="s">
        <v>25</v>
      </c>
      <c r="G25" s="100">
        <v>1</v>
      </c>
      <c r="H25" s="6"/>
      <c r="I25" s="104" t="s">
        <v>25</v>
      </c>
      <c r="J25" s="100">
        <f t="shared" ca="1" si="0"/>
        <v>1</v>
      </c>
      <c r="K25" s="100">
        <f t="shared" ca="1" si="1"/>
        <v>1</v>
      </c>
      <c r="L25" s="101">
        <f t="shared" ca="1" si="2"/>
        <v>0</v>
      </c>
      <c r="M25" s="6"/>
    </row>
    <row r="26" spans="1:13">
      <c r="B26" s="100" t="s">
        <v>84</v>
      </c>
      <c r="C26" s="103">
        <v>0</v>
      </c>
      <c r="D26" s="5"/>
      <c r="E26" s="96">
        <v>43376</v>
      </c>
      <c r="F26" s="100" t="s">
        <v>158</v>
      </c>
      <c r="G26" s="100">
        <v>5</v>
      </c>
      <c r="H26" s="6"/>
      <c r="I26" s="100" t="s">
        <v>84</v>
      </c>
      <c r="J26" s="100">
        <f t="shared" ca="1" si="0"/>
        <v>0</v>
      </c>
      <c r="K26" s="100">
        <f t="shared" ca="1" si="1"/>
        <v>0</v>
      </c>
      <c r="L26" s="101">
        <f t="shared" ca="1" si="2"/>
        <v>0</v>
      </c>
      <c r="M26" s="6"/>
    </row>
    <row r="27" spans="1:13">
      <c r="B27" s="102" t="s">
        <v>334</v>
      </c>
      <c r="C27" s="100">
        <v>1</v>
      </c>
      <c r="D27" s="5"/>
      <c r="E27" s="98"/>
      <c r="F27" s="102" t="s">
        <v>395</v>
      </c>
      <c r="G27" s="100">
        <v>1</v>
      </c>
      <c r="H27" s="6"/>
      <c r="I27" s="102" t="s">
        <v>334</v>
      </c>
      <c r="J27" s="100">
        <f t="shared" ca="1" si="0"/>
        <v>1</v>
      </c>
      <c r="K27" s="100">
        <f t="shared" ca="1" si="1"/>
        <v>0</v>
      </c>
      <c r="L27" s="101">
        <f t="shared" ca="1" si="2"/>
        <v>1</v>
      </c>
      <c r="M27" s="6"/>
    </row>
    <row r="28" spans="1:13">
      <c r="A28" s="7"/>
      <c r="B28" s="102" t="s">
        <v>87</v>
      </c>
      <c r="C28" s="102">
        <v>4.8</v>
      </c>
      <c r="D28" s="5"/>
      <c r="E28" s="97"/>
      <c r="F28" s="103" t="s">
        <v>408</v>
      </c>
      <c r="G28" s="100">
        <v>2</v>
      </c>
      <c r="H28" s="6"/>
      <c r="I28" s="102" t="s">
        <v>87</v>
      </c>
      <c r="J28" s="100">
        <f t="shared" ca="1" si="0"/>
        <v>4.8</v>
      </c>
      <c r="K28" s="100">
        <f t="shared" ca="1" si="1"/>
        <v>0</v>
      </c>
      <c r="L28" s="101">
        <f t="shared" ca="1" si="2"/>
        <v>4.8</v>
      </c>
      <c r="M28" s="6"/>
    </row>
    <row r="29" spans="1:13">
      <c r="B29" s="105" t="s">
        <v>0</v>
      </c>
      <c r="C29" s="100">
        <v>9</v>
      </c>
      <c r="D29" s="5"/>
      <c r="E29" s="97"/>
      <c r="F29" s="103" t="s">
        <v>109</v>
      </c>
      <c r="G29" s="100">
        <v>1</v>
      </c>
      <c r="I29" s="105" t="s">
        <v>0</v>
      </c>
      <c r="J29" s="100">
        <f t="shared" ca="1" si="0"/>
        <v>9</v>
      </c>
      <c r="K29" s="100">
        <f t="shared" ca="1" si="1"/>
        <v>9</v>
      </c>
      <c r="L29" s="101">
        <f t="shared" ca="1" si="2"/>
        <v>0</v>
      </c>
      <c r="M29" s="6"/>
    </row>
    <row r="30" spans="1:13">
      <c r="B30" s="104" t="s">
        <v>12</v>
      </c>
      <c r="C30" s="100">
        <v>10</v>
      </c>
      <c r="D30" s="5"/>
      <c r="E30" s="98"/>
      <c r="F30" s="102" t="s">
        <v>316</v>
      </c>
      <c r="G30" s="100">
        <v>2</v>
      </c>
      <c r="I30" s="104" t="s">
        <v>12</v>
      </c>
      <c r="J30" s="100">
        <f t="shared" ca="1" si="0"/>
        <v>10</v>
      </c>
      <c r="K30" s="100">
        <f t="shared" ca="1" si="1"/>
        <v>0</v>
      </c>
      <c r="L30" s="101">
        <f t="shared" ca="1" si="2"/>
        <v>10</v>
      </c>
      <c r="M30" s="6"/>
    </row>
    <row r="31" spans="1:13">
      <c r="B31" s="103" t="s">
        <v>342</v>
      </c>
      <c r="C31" s="100">
        <v>0</v>
      </c>
      <c r="D31" s="5"/>
      <c r="E31" s="96"/>
      <c r="F31" s="104" t="s">
        <v>690</v>
      </c>
      <c r="G31" s="100">
        <v>1</v>
      </c>
      <c r="I31" s="103" t="s">
        <v>342</v>
      </c>
      <c r="J31" s="100">
        <f t="shared" ca="1" si="0"/>
        <v>0</v>
      </c>
      <c r="K31" s="100">
        <f t="shared" ca="1" si="1"/>
        <v>0</v>
      </c>
      <c r="L31" s="101">
        <f t="shared" ca="1" si="2"/>
        <v>0</v>
      </c>
      <c r="M31" s="6"/>
    </row>
    <row r="32" spans="1:13">
      <c r="B32" s="107" t="s">
        <v>343</v>
      </c>
      <c r="C32" s="100">
        <v>16</v>
      </c>
      <c r="D32" s="5"/>
      <c r="E32" s="98"/>
      <c r="F32" s="102" t="s">
        <v>59</v>
      </c>
      <c r="G32" s="100">
        <v>2</v>
      </c>
      <c r="I32" s="107" t="s">
        <v>343</v>
      </c>
      <c r="J32" s="100">
        <f t="shared" ca="1" si="0"/>
        <v>16</v>
      </c>
      <c r="K32" s="100">
        <f t="shared" ca="1" si="1"/>
        <v>1</v>
      </c>
      <c r="L32" s="101">
        <f t="shared" ca="1" si="2"/>
        <v>15</v>
      </c>
      <c r="M32" s="6"/>
    </row>
    <row r="33" spans="1:13">
      <c r="B33" s="107" t="s">
        <v>21</v>
      </c>
      <c r="C33" s="100">
        <v>4</v>
      </c>
      <c r="D33" s="5"/>
      <c r="E33" s="98"/>
      <c r="F33" s="103" t="s">
        <v>411</v>
      </c>
      <c r="G33" s="100">
        <v>1</v>
      </c>
      <c r="I33" s="107" t="s">
        <v>21</v>
      </c>
      <c r="J33" s="100">
        <f t="shared" ca="1" si="0"/>
        <v>4</v>
      </c>
      <c r="K33" s="100">
        <f t="shared" ca="1" si="1"/>
        <v>4</v>
      </c>
      <c r="L33" s="101">
        <f t="shared" ca="1" si="2"/>
        <v>0</v>
      </c>
      <c r="M33" s="6"/>
    </row>
    <row r="34" spans="1:13">
      <c r="B34" s="107" t="s">
        <v>345</v>
      </c>
      <c r="C34" s="100">
        <v>30</v>
      </c>
      <c r="D34" s="5"/>
      <c r="E34" s="96"/>
      <c r="F34" s="100" t="s">
        <v>148</v>
      </c>
      <c r="G34" s="100">
        <v>1</v>
      </c>
      <c r="I34" s="107" t="s">
        <v>345</v>
      </c>
      <c r="J34" s="100">
        <f t="shared" ref="J34:J65" ca="1" si="3">SUMIF(B:C,I34,C:C)</f>
        <v>30</v>
      </c>
      <c r="K34" s="100">
        <f t="shared" ref="K34:K65" ca="1" si="4">SUMIF(F:G,I34,G:G)</f>
        <v>15</v>
      </c>
      <c r="L34" s="101">
        <f t="shared" ref="L34:L65" ca="1" si="5">J34-K34</f>
        <v>15</v>
      </c>
      <c r="M34" s="6"/>
    </row>
    <row r="35" spans="1:13">
      <c r="A35" s="7"/>
      <c r="B35" s="107" t="s">
        <v>346</v>
      </c>
      <c r="C35" s="100">
        <v>39</v>
      </c>
      <c r="D35" s="5"/>
      <c r="E35" s="98"/>
      <c r="F35" s="103" t="s">
        <v>162</v>
      </c>
      <c r="G35" s="100">
        <v>1</v>
      </c>
      <c r="I35" s="107" t="s">
        <v>346</v>
      </c>
      <c r="J35" s="100">
        <f t="shared" ca="1" si="3"/>
        <v>39</v>
      </c>
      <c r="K35" s="100">
        <f t="shared" ca="1" si="4"/>
        <v>15</v>
      </c>
      <c r="L35" s="101">
        <f t="shared" ca="1" si="5"/>
        <v>24</v>
      </c>
      <c r="M35" s="6"/>
    </row>
    <row r="36" spans="1:13">
      <c r="B36" s="103" t="s">
        <v>347</v>
      </c>
      <c r="C36" s="100">
        <v>58</v>
      </c>
      <c r="D36" s="5"/>
      <c r="E36" s="98"/>
      <c r="F36" s="103" t="s">
        <v>164</v>
      </c>
      <c r="G36" s="100">
        <v>2</v>
      </c>
      <c r="I36" s="103" t="s">
        <v>347</v>
      </c>
      <c r="J36" s="100">
        <f t="shared" ca="1" si="3"/>
        <v>58</v>
      </c>
      <c r="K36" s="100">
        <f t="shared" ca="1" si="4"/>
        <v>0</v>
      </c>
      <c r="L36" s="101">
        <f t="shared" ca="1" si="5"/>
        <v>58</v>
      </c>
      <c r="M36" s="6"/>
    </row>
    <row r="37" spans="1:13">
      <c r="B37" s="103" t="s">
        <v>101</v>
      </c>
      <c r="C37" s="100">
        <v>29</v>
      </c>
      <c r="D37" s="5"/>
      <c r="E37" s="97"/>
      <c r="F37" s="102" t="s">
        <v>543</v>
      </c>
      <c r="G37" s="100">
        <v>1</v>
      </c>
      <c r="I37" s="103" t="s">
        <v>101</v>
      </c>
      <c r="J37" s="100">
        <f t="shared" ca="1" si="3"/>
        <v>29</v>
      </c>
      <c r="K37" s="100">
        <f t="shared" ca="1" si="4"/>
        <v>0</v>
      </c>
      <c r="L37" s="101">
        <f t="shared" ca="1" si="5"/>
        <v>29</v>
      </c>
      <c r="M37" s="6"/>
    </row>
    <row r="38" spans="1:13">
      <c r="B38" s="103" t="s">
        <v>103</v>
      </c>
      <c r="C38" s="100">
        <v>15</v>
      </c>
      <c r="D38" s="5"/>
      <c r="E38" s="96">
        <v>43377</v>
      </c>
      <c r="F38" s="100" t="s">
        <v>147</v>
      </c>
      <c r="G38" s="100">
        <v>2</v>
      </c>
      <c r="I38" s="103" t="s">
        <v>103</v>
      </c>
      <c r="J38" s="100">
        <f t="shared" ca="1" si="3"/>
        <v>18</v>
      </c>
      <c r="K38" s="100">
        <f t="shared" ca="1" si="4"/>
        <v>0</v>
      </c>
      <c r="L38" s="101">
        <f t="shared" ca="1" si="5"/>
        <v>18</v>
      </c>
      <c r="M38" s="6"/>
    </row>
    <row r="39" spans="1:13">
      <c r="B39" s="103" t="s">
        <v>105</v>
      </c>
      <c r="C39" s="100">
        <v>1.5</v>
      </c>
      <c r="D39" s="5"/>
      <c r="E39" s="98"/>
      <c r="F39" s="100" t="s">
        <v>158</v>
      </c>
      <c r="G39" s="102">
        <v>2</v>
      </c>
      <c r="I39" s="103" t="s">
        <v>105</v>
      </c>
      <c r="J39" s="100">
        <f t="shared" ca="1" si="3"/>
        <v>1.5</v>
      </c>
      <c r="K39" s="100">
        <f t="shared" ca="1" si="4"/>
        <v>1</v>
      </c>
      <c r="L39" s="101">
        <f t="shared" ca="1" si="5"/>
        <v>0.5</v>
      </c>
      <c r="M39" s="6"/>
    </row>
    <row r="40" spans="1:13">
      <c r="B40" s="103" t="s">
        <v>106</v>
      </c>
      <c r="C40" s="100">
        <v>2</v>
      </c>
      <c r="D40" s="5"/>
      <c r="E40" s="98"/>
      <c r="F40" s="107" t="s">
        <v>346</v>
      </c>
      <c r="G40" s="102">
        <v>1</v>
      </c>
      <c r="I40" s="103" t="s">
        <v>106</v>
      </c>
      <c r="J40" s="100">
        <f t="shared" ca="1" si="3"/>
        <v>2</v>
      </c>
      <c r="K40" s="100">
        <f t="shared" ca="1" si="4"/>
        <v>0</v>
      </c>
      <c r="L40" s="101">
        <f t="shared" ca="1" si="5"/>
        <v>2</v>
      </c>
      <c r="M40" s="6"/>
    </row>
    <row r="41" spans="1:13">
      <c r="A41" s="7"/>
      <c r="B41" s="103" t="s">
        <v>107</v>
      </c>
      <c r="C41" s="102">
        <v>32</v>
      </c>
      <c r="D41" s="5"/>
      <c r="E41" s="97"/>
      <c r="F41" s="102" t="s">
        <v>288</v>
      </c>
      <c r="G41" s="100">
        <v>1</v>
      </c>
      <c r="I41" s="103" t="s">
        <v>107</v>
      </c>
      <c r="J41" s="100">
        <f t="shared" ca="1" si="3"/>
        <v>32</v>
      </c>
      <c r="K41" s="100">
        <f t="shared" ca="1" si="4"/>
        <v>0</v>
      </c>
      <c r="L41" s="101">
        <f t="shared" ca="1" si="5"/>
        <v>32</v>
      </c>
      <c r="M41" s="6"/>
    </row>
    <row r="42" spans="1:13">
      <c r="B42" s="103" t="s">
        <v>108</v>
      </c>
      <c r="C42" s="100">
        <v>0</v>
      </c>
      <c r="D42" s="5"/>
      <c r="E42" s="98"/>
      <c r="F42" s="105" t="s">
        <v>0</v>
      </c>
      <c r="G42" s="102">
        <v>1</v>
      </c>
      <c r="I42" s="103" t="s">
        <v>108</v>
      </c>
      <c r="J42" s="100">
        <f t="shared" ca="1" si="3"/>
        <v>0</v>
      </c>
      <c r="K42" s="100">
        <f t="shared" ca="1" si="4"/>
        <v>0</v>
      </c>
      <c r="L42" s="101">
        <f t="shared" ca="1" si="5"/>
        <v>0</v>
      </c>
      <c r="M42" s="6"/>
    </row>
    <row r="43" spans="1:13">
      <c r="B43" s="103" t="s">
        <v>109</v>
      </c>
      <c r="C43" s="100">
        <v>24</v>
      </c>
      <c r="D43" s="5"/>
      <c r="E43" s="98"/>
      <c r="F43" s="102" t="s">
        <v>66</v>
      </c>
      <c r="G43" s="102">
        <v>1</v>
      </c>
      <c r="I43" s="103" t="s">
        <v>109</v>
      </c>
      <c r="J43" s="100">
        <f t="shared" ca="1" si="3"/>
        <v>24</v>
      </c>
      <c r="K43" s="100">
        <f t="shared" ca="1" si="4"/>
        <v>1</v>
      </c>
      <c r="L43" s="101">
        <f t="shared" ca="1" si="5"/>
        <v>23</v>
      </c>
      <c r="M43" s="6"/>
    </row>
    <row r="44" spans="1:13">
      <c r="B44" s="102" t="s">
        <v>53</v>
      </c>
      <c r="C44" s="100">
        <v>4</v>
      </c>
      <c r="D44" s="5"/>
      <c r="E44" s="98"/>
      <c r="F44" s="103" t="s">
        <v>411</v>
      </c>
      <c r="G44" s="102">
        <v>0.5</v>
      </c>
      <c r="I44" s="102" t="s">
        <v>53</v>
      </c>
      <c r="J44" s="100">
        <f t="shared" ca="1" si="3"/>
        <v>14</v>
      </c>
      <c r="K44" s="100">
        <f t="shared" ca="1" si="4"/>
        <v>1</v>
      </c>
      <c r="L44" s="101">
        <f t="shared" ca="1" si="5"/>
        <v>13</v>
      </c>
      <c r="M44" s="6"/>
    </row>
    <row r="45" spans="1:13">
      <c r="B45" s="102" t="s">
        <v>65</v>
      </c>
      <c r="C45" s="100">
        <v>0</v>
      </c>
      <c r="D45" s="5"/>
      <c r="E45" s="96">
        <v>43378</v>
      </c>
      <c r="F45" s="102" t="s">
        <v>45</v>
      </c>
      <c r="G45" s="100">
        <v>2</v>
      </c>
      <c r="I45" s="102" t="s">
        <v>65</v>
      </c>
      <c r="J45" s="100">
        <f t="shared" ca="1" si="3"/>
        <v>20</v>
      </c>
      <c r="K45" s="100">
        <f t="shared" ca="1" si="4"/>
        <v>0</v>
      </c>
      <c r="L45" s="101">
        <f t="shared" ca="1" si="5"/>
        <v>20</v>
      </c>
      <c r="M45" s="6"/>
    </row>
    <row r="46" spans="1:13">
      <c r="B46" s="100" t="s">
        <v>40</v>
      </c>
      <c r="C46" s="100">
        <v>36.5</v>
      </c>
      <c r="D46" s="5"/>
      <c r="E46" s="98"/>
      <c r="F46" s="100" t="s">
        <v>40</v>
      </c>
      <c r="G46" s="102">
        <v>1</v>
      </c>
      <c r="I46" s="100" t="s">
        <v>40</v>
      </c>
      <c r="J46" s="100">
        <f t="shared" ca="1" si="3"/>
        <v>36.5</v>
      </c>
      <c r="K46" s="100">
        <f t="shared" ca="1" si="4"/>
        <v>2</v>
      </c>
      <c r="L46" s="101">
        <f t="shared" ca="1" si="5"/>
        <v>34.5</v>
      </c>
      <c r="M46" s="6"/>
    </row>
    <row r="47" spans="1:13">
      <c r="B47" s="100" t="s">
        <v>39</v>
      </c>
      <c r="C47" s="100">
        <v>43.25</v>
      </c>
      <c r="D47" s="5"/>
      <c r="E47" s="98"/>
      <c r="F47" s="102" t="s">
        <v>220</v>
      </c>
      <c r="G47" s="102">
        <v>2</v>
      </c>
      <c r="I47" s="100" t="s">
        <v>39</v>
      </c>
      <c r="J47" s="100">
        <f t="shared" ca="1" si="3"/>
        <v>48.25</v>
      </c>
      <c r="K47" s="100">
        <f t="shared" ca="1" si="4"/>
        <v>0</v>
      </c>
      <c r="L47" s="101">
        <f t="shared" ca="1" si="5"/>
        <v>48.25</v>
      </c>
      <c r="M47" s="6"/>
    </row>
    <row r="48" spans="1:13">
      <c r="A48" s="7"/>
      <c r="B48" s="102" t="s">
        <v>352</v>
      </c>
      <c r="C48" s="100">
        <v>3</v>
      </c>
      <c r="D48" s="5"/>
      <c r="E48" s="96"/>
      <c r="F48" s="102" t="s">
        <v>59</v>
      </c>
      <c r="G48" s="100">
        <v>1</v>
      </c>
      <c r="I48" s="102" t="s">
        <v>352</v>
      </c>
      <c r="J48" s="100">
        <f t="shared" ca="1" si="3"/>
        <v>9</v>
      </c>
      <c r="K48" s="100">
        <f t="shared" ca="1" si="4"/>
        <v>0</v>
      </c>
      <c r="L48" s="101">
        <f t="shared" ca="1" si="5"/>
        <v>9</v>
      </c>
      <c r="M48" s="6"/>
    </row>
    <row r="49" spans="1:13">
      <c r="A49" s="7"/>
      <c r="B49" s="102" t="s">
        <v>44</v>
      </c>
      <c r="C49" s="100">
        <v>0</v>
      </c>
      <c r="D49" s="5"/>
      <c r="E49" s="98"/>
      <c r="F49" s="102" t="s">
        <v>543</v>
      </c>
      <c r="G49" s="100">
        <v>1</v>
      </c>
      <c r="H49" s="19"/>
      <c r="I49" s="102" t="s">
        <v>44</v>
      </c>
      <c r="J49" s="100">
        <f t="shared" ca="1" si="3"/>
        <v>0</v>
      </c>
      <c r="K49" s="100">
        <f t="shared" ca="1" si="4"/>
        <v>0</v>
      </c>
      <c r="L49" s="101">
        <f t="shared" ca="1" si="5"/>
        <v>0</v>
      </c>
      <c r="M49" s="6"/>
    </row>
    <row r="50" spans="1:13">
      <c r="A50" s="7"/>
      <c r="B50" s="102" t="s">
        <v>45</v>
      </c>
      <c r="C50" s="100">
        <v>15</v>
      </c>
      <c r="D50" s="5"/>
      <c r="E50" s="98"/>
      <c r="F50" s="100" t="s">
        <v>394</v>
      </c>
      <c r="G50" s="100">
        <v>2</v>
      </c>
      <c r="I50" s="102" t="s">
        <v>45</v>
      </c>
      <c r="J50" s="100">
        <f t="shared" ca="1" si="3"/>
        <v>15</v>
      </c>
      <c r="K50" s="100">
        <f t="shared" ca="1" si="4"/>
        <v>4</v>
      </c>
      <c r="L50" s="101">
        <f t="shared" ca="1" si="5"/>
        <v>11</v>
      </c>
      <c r="M50" s="6"/>
    </row>
    <row r="51" spans="1:13">
      <c r="B51" s="102" t="s">
        <v>42</v>
      </c>
      <c r="C51" s="100">
        <v>9</v>
      </c>
      <c r="D51" s="5"/>
      <c r="E51" s="97"/>
      <c r="F51" s="102" t="s">
        <v>293</v>
      </c>
      <c r="G51" s="100">
        <v>1</v>
      </c>
      <c r="I51" s="102" t="s">
        <v>42</v>
      </c>
      <c r="J51" s="100">
        <f t="shared" ca="1" si="3"/>
        <v>9</v>
      </c>
      <c r="K51" s="100">
        <f t="shared" ca="1" si="4"/>
        <v>3</v>
      </c>
      <c r="L51" s="101">
        <f t="shared" ca="1" si="5"/>
        <v>6</v>
      </c>
      <c r="M51" s="6"/>
    </row>
    <row r="52" spans="1:13">
      <c r="B52" s="102" t="s">
        <v>43</v>
      </c>
      <c r="C52" s="100">
        <v>3</v>
      </c>
      <c r="D52" s="5"/>
      <c r="E52" s="98"/>
      <c r="F52" s="102" t="s">
        <v>358</v>
      </c>
      <c r="G52" s="100">
        <v>1</v>
      </c>
      <c r="I52" s="102" t="s">
        <v>43</v>
      </c>
      <c r="J52" s="100">
        <f t="shared" ca="1" si="3"/>
        <v>3</v>
      </c>
      <c r="K52" s="100">
        <f t="shared" ca="1" si="4"/>
        <v>0</v>
      </c>
      <c r="L52" s="101">
        <f t="shared" ca="1" si="5"/>
        <v>3</v>
      </c>
      <c r="M52" s="6"/>
    </row>
    <row r="53" spans="1:13">
      <c r="B53" s="102" t="s">
        <v>59</v>
      </c>
      <c r="C53" s="100">
        <v>12</v>
      </c>
      <c r="D53" s="5"/>
      <c r="E53" s="97"/>
      <c r="F53" s="100" t="s">
        <v>158</v>
      </c>
      <c r="G53" s="100">
        <v>2</v>
      </c>
      <c r="I53" s="102" t="s">
        <v>59</v>
      </c>
      <c r="J53" s="100">
        <f t="shared" ca="1" si="3"/>
        <v>12</v>
      </c>
      <c r="K53" s="100">
        <f t="shared" ca="1" si="4"/>
        <v>10</v>
      </c>
      <c r="L53" s="101">
        <f t="shared" ca="1" si="5"/>
        <v>2</v>
      </c>
      <c r="M53" s="6"/>
    </row>
    <row r="54" spans="1:13">
      <c r="B54" s="102" t="s">
        <v>60</v>
      </c>
      <c r="C54" s="102">
        <v>2</v>
      </c>
      <c r="D54" s="5"/>
      <c r="E54" s="98"/>
      <c r="F54" s="100" t="s">
        <v>147</v>
      </c>
      <c r="G54" s="100">
        <v>2</v>
      </c>
      <c r="I54" s="102" t="s">
        <v>60</v>
      </c>
      <c r="J54" s="100">
        <f t="shared" ca="1" si="3"/>
        <v>2</v>
      </c>
      <c r="K54" s="100">
        <f t="shared" ca="1" si="4"/>
        <v>0</v>
      </c>
      <c r="L54" s="101">
        <f t="shared" ca="1" si="5"/>
        <v>2</v>
      </c>
      <c r="M54" s="6"/>
    </row>
    <row r="55" spans="1:13">
      <c r="A55" s="7"/>
      <c r="B55" s="102" t="s">
        <v>46</v>
      </c>
      <c r="C55" s="100">
        <v>0</v>
      </c>
      <c r="D55" s="5"/>
      <c r="E55" s="98"/>
      <c r="F55" s="103" t="s">
        <v>408</v>
      </c>
      <c r="G55" s="100">
        <v>1</v>
      </c>
      <c r="I55" s="102" t="s">
        <v>46</v>
      </c>
      <c r="J55" s="100">
        <f t="shared" ca="1" si="3"/>
        <v>0</v>
      </c>
      <c r="K55" s="100">
        <f t="shared" ca="1" si="4"/>
        <v>0</v>
      </c>
      <c r="L55" s="101">
        <f t="shared" ca="1" si="5"/>
        <v>0</v>
      </c>
      <c r="M55" s="6"/>
    </row>
    <row r="56" spans="1:13">
      <c r="B56" s="102" t="s">
        <v>58</v>
      </c>
      <c r="C56" s="100">
        <v>7</v>
      </c>
      <c r="D56" s="5"/>
      <c r="E56" s="97"/>
      <c r="F56" s="103" t="s">
        <v>164</v>
      </c>
      <c r="G56" s="100">
        <v>3</v>
      </c>
      <c r="I56" s="102" t="s">
        <v>58</v>
      </c>
      <c r="J56" s="100">
        <f t="shared" ca="1" si="3"/>
        <v>7</v>
      </c>
      <c r="K56" s="100">
        <f t="shared" ca="1" si="4"/>
        <v>2</v>
      </c>
      <c r="L56" s="101">
        <f t="shared" ca="1" si="5"/>
        <v>5</v>
      </c>
      <c r="M56" s="6"/>
    </row>
    <row r="57" spans="1:13">
      <c r="A57" s="7"/>
      <c r="B57" s="102" t="s">
        <v>47</v>
      </c>
      <c r="C57" s="100">
        <v>22</v>
      </c>
      <c r="D57" s="5"/>
      <c r="E57" s="97"/>
      <c r="F57" s="102" t="s">
        <v>221</v>
      </c>
      <c r="G57" s="100">
        <v>1</v>
      </c>
      <c r="I57" s="102" t="s">
        <v>47</v>
      </c>
      <c r="J57" s="100">
        <f t="shared" ca="1" si="3"/>
        <v>22</v>
      </c>
      <c r="K57" s="100">
        <f t="shared" ca="1" si="4"/>
        <v>1</v>
      </c>
      <c r="L57" s="101">
        <f t="shared" ca="1" si="5"/>
        <v>21</v>
      </c>
      <c r="M57" s="6"/>
    </row>
    <row r="58" spans="1:13">
      <c r="B58" s="102" t="s">
        <v>57</v>
      </c>
      <c r="C58" s="100">
        <v>13</v>
      </c>
      <c r="D58" s="5"/>
      <c r="E58" s="96"/>
      <c r="F58" s="102" t="s">
        <v>45</v>
      </c>
      <c r="G58" s="100">
        <v>2</v>
      </c>
      <c r="I58" s="102" t="s">
        <v>57</v>
      </c>
      <c r="J58" s="100">
        <f t="shared" ca="1" si="3"/>
        <v>13</v>
      </c>
      <c r="K58" s="100">
        <f t="shared" ca="1" si="4"/>
        <v>0</v>
      </c>
      <c r="L58" s="101">
        <f t="shared" ca="1" si="5"/>
        <v>13</v>
      </c>
      <c r="M58" s="6"/>
    </row>
    <row r="59" spans="1:13">
      <c r="B59" s="102" t="s">
        <v>49</v>
      </c>
      <c r="C59" s="102">
        <v>3</v>
      </c>
      <c r="D59" s="5"/>
      <c r="E59" s="98"/>
      <c r="F59" s="102" t="s">
        <v>11</v>
      </c>
      <c r="G59" s="100">
        <v>2</v>
      </c>
      <c r="H59" s="19"/>
      <c r="I59" s="102" t="s">
        <v>49</v>
      </c>
      <c r="J59" s="100">
        <f t="shared" ca="1" si="3"/>
        <v>3</v>
      </c>
      <c r="K59" s="100">
        <f t="shared" ca="1" si="4"/>
        <v>0</v>
      </c>
      <c r="L59" s="101">
        <f t="shared" ca="1" si="5"/>
        <v>3</v>
      </c>
      <c r="M59" s="6"/>
    </row>
    <row r="60" spans="1:13">
      <c r="B60" s="102" t="s">
        <v>48</v>
      </c>
      <c r="C60" s="100">
        <v>1</v>
      </c>
      <c r="D60" s="5"/>
      <c r="E60" s="96">
        <v>43379</v>
      </c>
      <c r="F60" s="105" t="s">
        <v>694</v>
      </c>
      <c r="G60" s="100">
        <v>2</v>
      </c>
      <c r="H60" s="19"/>
      <c r="I60" s="102" t="s">
        <v>48</v>
      </c>
      <c r="J60" s="100">
        <f t="shared" ca="1" si="3"/>
        <v>1</v>
      </c>
      <c r="K60" s="100">
        <f t="shared" ca="1" si="4"/>
        <v>0</v>
      </c>
      <c r="L60" s="101">
        <f t="shared" ca="1" si="5"/>
        <v>1</v>
      </c>
      <c r="M60" s="6"/>
    </row>
    <row r="61" spans="1:13">
      <c r="B61" s="106" t="s">
        <v>55</v>
      </c>
      <c r="C61" s="100">
        <v>12</v>
      </c>
      <c r="D61" s="5"/>
      <c r="E61" s="98"/>
      <c r="F61" s="105" t="s">
        <v>0</v>
      </c>
      <c r="G61" s="100">
        <v>8</v>
      </c>
      <c r="H61" s="19"/>
      <c r="I61" s="106" t="s">
        <v>55</v>
      </c>
      <c r="J61" s="100">
        <f t="shared" ca="1" si="3"/>
        <v>12</v>
      </c>
      <c r="K61" s="100">
        <f t="shared" ca="1" si="4"/>
        <v>0</v>
      </c>
      <c r="L61" s="101">
        <f t="shared" ca="1" si="5"/>
        <v>12</v>
      </c>
      <c r="M61" s="6"/>
    </row>
    <row r="62" spans="1:13">
      <c r="B62" s="102" t="s">
        <v>56</v>
      </c>
      <c r="C62" s="100">
        <v>4</v>
      </c>
      <c r="D62" s="5"/>
      <c r="E62" s="98"/>
      <c r="F62" s="107" t="s">
        <v>346</v>
      </c>
      <c r="G62" s="100">
        <v>14</v>
      </c>
      <c r="H62" s="19"/>
      <c r="I62" s="102" t="s">
        <v>56</v>
      </c>
      <c r="J62" s="100">
        <f t="shared" ca="1" si="3"/>
        <v>4</v>
      </c>
      <c r="K62" s="100">
        <f t="shared" ca="1" si="4"/>
        <v>0</v>
      </c>
      <c r="L62" s="101">
        <f t="shared" ca="1" si="5"/>
        <v>4</v>
      </c>
      <c r="M62" s="6"/>
    </row>
    <row r="63" spans="1:13">
      <c r="A63" s="7"/>
      <c r="B63" s="102" t="s">
        <v>357</v>
      </c>
      <c r="C63" s="100">
        <v>7</v>
      </c>
      <c r="D63" s="5"/>
      <c r="E63" s="97"/>
      <c r="F63" s="102" t="s">
        <v>42</v>
      </c>
      <c r="G63" s="100">
        <v>3</v>
      </c>
      <c r="I63" s="102" t="s">
        <v>357</v>
      </c>
      <c r="J63" s="100">
        <f t="shared" ca="1" si="3"/>
        <v>7</v>
      </c>
      <c r="K63" s="100">
        <f t="shared" ca="1" si="4"/>
        <v>2</v>
      </c>
      <c r="L63" s="101">
        <f t="shared" ca="1" si="5"/>
        <v>5</v>
      </c>
      <c r="M63" s="6"/>
    </row>
    <row r="64" spans="1:13">
      <c r="B64" s="102" t="s">
        <v>358</v>
      </c>
      <c r="C64" s="100">
        <v>1</v>
      </c>
      <c r="D64" s="5"/>
      <c r="E64" s="98"/>
      <c r="F64" s="102" t="s">
        <v>58</v>
      </c>
      <c r="G64" s="100">
        <v>2</v>
      </c>
      <c r="I64" s="102" t="s">
        <v>358</v>
      </c>
      <c r="J64" s="100">
        <f t="shared" ca="1" si="3"/>
        <v>1</v>
      </c>
      <c r="K64" s="100">
        <f t="shared" ca="1" si="4"/>
        <v>1</v>
      </c>
      <c r="L64" s="101">
        <f t="shared" ca="1" si="5"/>
        <v>0</v>
      </c>
      <c r="M64" s="6"/>
    </row>
    <row r="65" spans="1:13">
      <c r="A65" s="7"/>
      <c r="B65" s="102" t="s">
        <v>359</v>
      </c>
      <c r="C65" s="100">
        <v>0</v>
      </c>
      <c r="D65" s="5"/>
      <c r="E65" s="97"/>
      <c r="F65" s="102" t="s">
        <v>476</v>
      </c>
      <c r="G65" s="100">
        <v>20</v>
      </c>
      <c r="I65" s="102" t="s">
        <v>359</v>
      </c>
      <c r="J65" s="100">
        <f t="shared" ca="1" si="3"/>
        <v>0</v>
      </c>
      <c r="K65" s="100">
        <f t="shared" ca="1" si="4"/>
        <v>0</v>
      </c>
      <c r="L65" s="101">
        <f t="shared" ca="1" si="5"/>
        <v>0</v>
      </c>
      <c r="M65" s="6"/>
    </row>
    <row r="66" spans="1:13">
      <c r="B66" s="102" t="s">
        <v>372</v>
      </c>
      <c r="C66" s="100">
        <v>1</v>
      </c>
      <c r="D66" s="5"/>
      <c r="E66" s="98"/>
      <c r="F66" s="102" t="s">
        <v>506</v>
      </c>
      <c r="G66" s="100">
        <v>2</v>
      </c>
      <c r="I66" s="102" t="s">
        <v>372</v>
      </c>
      <c r="J66" s="100">
        <f t="shared" ref="J66:J97" ca="1" si="6">SUMIF(B:C,I66,C:C)</f>
        <v>1</v>
      </c>
      <c r="K66" s="100">
        <f t="shared" ref="K66:K97" ca="1" si="7">SUMIF(F:G,I66,G:G)</f>
        <v>1</v>
      </c>
      <c r="L66" s="101">
        <f t="shared" ref="L66:L97" ca="1" si="8">J66-K66</f>
        <v>0</v>
      </c>
      <c r="M66" s="6"/>
    </row>
    <row r="67" spans="1:13">
      <c r="B67" s="102" t="s">
        <v>383</v>
      </c>
      <c r="C67" s="100">
        <v>29.5</v>
      </c>
      <c r="D67" s="5"/>
      <c r="E67" s="96"/>
      <c r="F67" s="100" t="s">
        <v>815</v>
      </c>
      <c r="G67" s="100">
        <v>2</v>
      </c>
      <c r="I67" s="102" t="s">
        <v>383</v>
      </c>
      <c r="J67" s="100">
        <f t="shared" ca="1" si="6"/>
        <v>29.5</v>
      </c>
      <c r="K67" s="100">
        <f t="shared" ca="1" si="7"/>
        <v>0</v>
      </c>
      <c r="L67" s="101">
        <f t="shared" ca="1" si="8"/>
        <v>29.5</v>
      </c>
      <c r="M67" s="6"/>
    </row>
    <row r="68" spans="1:13">
      <c r="B68" s="100" t="s">
        <v>807</v>
      </c>
      <c r="C68" s="100">
        <v>0</v>
      </c>
      <c r="D68" s="5"/>
      <c r="E68" s="98"/>
      <c r="F68" s="103" t="s">
        <v>814</v>
      </c>
      <c r="G68" s="100">
        <v>2</v>
      </c>
      <c r="I68" s="100" t="s">
        <v>807</v>
      </c>
      <c r="J68" s="100">
        <f t="shared" ca="1" si="6"/>
        <v>0</v>
      </c>
      <c r="K68" s="100">
        <f t="shared" ca="1" si="7"/>
        <v>0</v>
      </c>
      <c r="L68" s="101">
        <f t="shared" ca="1" si="8"/>
        <v>0</v>
      </c>
      <c r="M68" s="6"/>
    </row>
    <row r="69" spans="1:13">
      <c r="B69" s="100" t="s">
        <v>808</v>
      </c>
      <c r="C69" s="100">
        <v>0</v>
      </c>
      <c r="D69" s="5"/>
      <c r="E69" s="97"/>
      <c r="F69" s="103" t="s">
        <v>816</v>
      </c>
      <c r="G69" s="100">
        <v>2</v>
      </c>
      <c r="I69" s="100" t="s">
        <v>808</v>
      </c>
      <c r="J69" s="100">
        <f t="shared" ca="1" si="6"/>
        <v>0</v>
      </c>
      <c r="K69" s="100">
        <f t="shared" ca="1" si="7"/>
        <v>0</v>
      </c>
      <c r="L69" s="101">
        <f t="shared" ca="1" si="8"/>
        <v>0</v>
      </c>
      <c r="M69" s="6"/>
    </row>
    <row r="70" spans="1:13">
      <c r="B70" s="100" t="s">
        <v>390</v>
      </c>
      <c r="C70" s="100">
        <v>58</v>
      </c>
      <c r="D70" s="5"/>
      <c r="E70" s="97"/>
      <c r="F70" s="102" t="s">
        <v>534</v>
      </c>
      <c r="G70" s="100">
        <v>2</v>
      </c>
      <c r="I70" s="100" t="s">
        <v>390</v>
      </c>
      <c r="J70" s="100">
        <f t="shared" ca="1" si="6"/>
        <v>58</v>
      </c>
      <c r="K70" s="100">
        <f t="shared" ca="1" si="7"/>
        <v>0</v>
      </c>
      <c r="L70" s="101">
        <f t="shared" ca="1" si="8"/>
        <v>58</v>
      </c>
      <c r="M70" s="6"/>
    </row>
    <row r="71" spans="1:13">
      <c r="B71" s="100" t="s">
        <v>391</v>
      </c>
      <c r="C71" s="100">
        <v>18</v>
      </c>
      <c r="D71" s="5"/>
      <c r="E71" s="96"/>
      <c r="F71" s="102" t="s">
        <v>535</v>
      </c>
      <c r="G71" s="100">
        <v>5</v>
      </c>
      <c r="I71" s="100" t="s">
        <v>391</v>
      </c>
      <c r="J71" s="100">
        <f t="shared" ca="1" si="6"/>
        <v>18</v>
      </c>
      <c r="K71" s="100">
        <f t="shared" ca="1" si="7"/>
        <v>0</v>
      </c>
      <c r="L71" s="101">
        <f t="shared" ca="1" si="8"/>
        <v>18</v>
      </c>
      <c r="M71" s="6"/>
    </row>
    <row r="72" spans="1:13">
      <c r="B72" s="100" t="s">
        <v>394</v>
      </c>
      <c r="C72" s="100">
        <v>17</v>
      </c>
      <c r="D72" s="5"/>
      <c r="E72" s="97"/>
      <c r="F72" s="102" t="s">
        <v>537</v>
      </c>
      <c r="G72" s="100">
        <v>2</v>
      </c>
      <c r="I72" s="100" t="s">
        <v>394</v>
      </c>
      <c r="J72" s="100">
        <f t="shared" ca="1" si="6"/>
        <v>17</v>
      </c>
      <c r="K72" s="100">
        <f t="shared" ca="1" si="7"/>
        <v>11</v>
      </c>
      <c r="L72" s="101">
        <f t="shared" ca="1" si="8"/>
        <v>6</v>
      </c>
      <c r="M72" s="6"/>
    </row>
    <row r="73" spans="1:13">
      <c r="B73" s="100" t="s">
        <v>147</v>
      </c>
      <c r="C73" s="100">
        <v>26</v>
      </c>
      <c r="D73" s="5"/>
      <c r="E73" s="98"/>
      <c r="F73" s="102" t="s">
        <v>539</v>
      </c>
      <c r="G73" s="100">
        <v>20</v>
      </c>
      <c r="I73" s="100" t="s">
        <v>147</v>
      </c>
      <c r="J73" s="100">
        <f t="shared" ca="1" si="6"/>
        <v>26</v>
      </c>
      <c r="K73" s="100">
        <f t="shared" ca="1" si="7"/>
        <v>9</v>
      </c>
      <c r="L73" s="101">
        <f t="shared" ca="1" si="8"/>
        <v>17</v>
      </c>
      <c r="M73" s="6"/>
    </row>
    <row r="74" spans="1:13">
      <c r="A74" s="7"/>
      <c r="B74" s="100" t="s">
        <v>148</v>
      </c>
      <c r="C74" s="100">
        <v>22</v>
      </c>
      <c r="D74" s="5"/>
      <c r="E74" s="96"/>
      <c r="F74" s="102" t="s">
        <v>549</v>
      </c>
      <c r="G74" s="100">
        <v>6</v>
      </c>
      <c r="I74" s="100" t="s">
        <v>148</v>
      </c>
      <c r="J74" s="100">
        <f t="shared" ca="1" si="6"/>
        <v>22</v>
      </c>
      <c r="K74" s="100">
        <f t="shared" ca="1" si="7"/>
        <v>1</v>
      </c>
      <c r="L74" s="101">
        <f t="shared" ca="1" si="8"/>
        <v>21</v>
      </c>
      <c r="M74" s="6"/>
    </row>
    <row r="75" spans="1:13">
      <c r="B75" s="89" t="s">
        <v>149</v>
      </c>
      <c r="C75" s="100">
        <v>26</v>
      </c>
      <c r="D75" s="5"/>
      <c r="E75" s="97"/>
      <c r="F75" s="100" t="s">
        <v>809</v>
      </c>
      <c r="G75" s="100">
        <v>2</v>
      </c>
      <c r="I75" s="89" t="s">
        <v>149</v>
      </c>
      <c r="J75" s="100">
        <f t="shared" ca="1" si="6"/>
        <v>26</v>
      </c>
      <c r="K75" s="100">
        <f t="shared" ca="1" si="7"/>
        <v>0</v>
      </c>
      <c r="L75" s="101">
        <f t="shared" ca="1" si="8"/>
        <v>26</v>
      </c>
      <c r="M75" s="6"/>
    </row>
    <row r="76" spans="1:13">
      <c r="A76" s="7"/>
      <c r="B76" s="100" t="s">
        <v>150</v>
      </c>
      <c r="C76" s="102">
        <v>0</v>
      </c>
      <c r="D76" s="5"/>
      <c r="E76" s="98"/>
      <c r="F76" s="104" t="s">
        <v>690</v>
      </c>
      <c r="G76" s="100">
        <v>24</v>
      </c>
      <c r="I76" s="100" t="s">
        <v>150</v>
      </c>
      <c r="J76" s="100">
        <f t="shared" ca="1" si="6"/>
        <v>14</v>
      </c>
      <c r="K76" s="100">
        <f t="shared" ca="1" si="7"/>
        <v>0</v>
      </c>
      <c r="L76" s="101">
        <f t="shared" ca="1" si="8"/>
        <v>14</v>
      </c>
      <c r="M76" s="6"/>
    </row>
    <row r="77" spans="1:13">
      <c r="B77" s="100" t="s">
        <v>151</v>
      </c>
      <c r="C77" s="102">
        <v>24</v>
      </c>
      <c r="D77" s="5"/>
      <c r="E77" s="98"/>
      <c r="F77" s="105" t="s">
        <v>345</v>
      </c>
      <c r="G77" s="100">
        <v>14</v>
      </c>
      <c r="I77" s="100" t="s">
        <v>151</v>
      </c>
      <c r="J77" s="100">
        <f t="shared" ca="1" si="6"/>
        <v>27</v>
      </c>
      <c r="K77" s="100">
        <f t="shared" ca="1" si="7"/>
        <v>0.5</v>
      </c>
      <c r="L77" s="101">
        <f t="shared" ca="1" si="8"/>
        <v>26.5</v>
      </c>
      <c r="M77" s="6"/>
    </row>
    <row r="78" spans="1:13">
      <c r="B78" s="100" t="s">
        <v>152</v>
      </c>
      <c r="C78" s="102">
        <v>0</v>
      </c>
      <c r="D78" s="5"/>
      <c r="E78" s="96">
        <v>43382</v>
      </c>
      <c r="F78" s="102" t="s">
        <v>372</v>
      </c>
      <c r="G78" s="100">
        <v>1</v>
      </c>
      <c r="I78" s="100" t="s">
        <v>152</v>
      </c>
      <c r="J78" s="100">
        <f t="shared" ca="1" si="6"/>
        <v>14</v>
      </c>
      <c r="K78" s="100">
        <f t="shared" ca="1" si="7"/>
        <v>0</v>
      </c>
      <c r="L78" s="101">
        <f t="shared" ca="1" si="8"/>
        <v>14</v>
      </c>
      <c r="M78" s="6"/>
    </row>
    <row r="79" spans="1:13">
      <c r="B79" s="100" t="s">
        <v>158</v>
      </c>
      <c r="C79" s="100">
        <v>20</v>
      </c>
      <c r="D79" s="5"/>
      <c r="E79" s="98"/>
      <c r="F79" s="100" t="s">
        <v>394</v>
      </c>
      <c r="G79" s="100">
        <v>6</v>
      </c>
      <c r="I79" s="100" t="s">
        <v>158</v>
      </c>
      <c r="J79" s="100">
        <f t="shared" ca="1" si="6"/>
        <v>20</v>
      </c>
      <c r="K79" s="100">
        <f t="shared" ca="1" si="7"/>
        <v>14</v>
      </c>
      <c r="L79" s="101">
        <f t="shared" ca="1" si="8"/>
        <v>6</v>
      </c>
      <c r="M79" s="6"/>
    </row>
    <row r="80" spans="1:13">
      <c r="B80" s="102" t="s">
        <v>395</v>
      </c>
      <c r="C80" s="100">
        <v>7</v>
      </c>
      <c r="D80" s="5"/>
      <c r="E80" s="97"/>
      <c r="F80" s="102" t="s">
        <v>316</v>
      </c>
      <c r="G80" s="100">
        <v>4</v>
      </c>
      <c r="I80" s="102" t="s">
        <v>395</v>
      </c>
      <c r="J80" s="100">
        <f t="shared" ca="1" si="6"/>
        <v>7</v>
      </c>
      <c r="K80" s="100">
        <f t="shared" ca="1" si="7"/>
        <v>1</v>
      </c>
      <c r="L80" s="101">
        <f t="shared" ca="1" si="8"/>
        <v>6</v>
      </c>
      <c r="M80" s="6"/>
    </row>
    <row r="81" spans="1:13">
      <c r="B81" s="102" t="s">
        <v>717</v>
      </c>
      <c r="C81" s="100">
        <v>0</v>
      </c>
      <c r="D81" s="5"/>
      <c r="E81" s="97"/>
      <c r="F81" s="102" t="s">
        <v>59</v>
      </c>
      <c r="G81" s="100">
        <v>5</v>
      </c>
      <c r="I81" s="102" t="s">
        <v>717</v>
      </c>
      <c r="J81" s="100">
        <f t="shared" ca="1" si="6"/>
        <v>0</v>
      </c>
      <c r="K81" s="100">
        <f t="shared" ca="1" si="7"/>
        <v>0</v>
      </c>
      <c r="L81" s="101">
        <f t="shared" ca="1" si="8"/>
        <v>0</v>
      </c>
      <c r="M81" s="6"/>
    </row>
    <row r="82" spans="1:13">
      <c r="A82" s="7"/>
      <c r="B82" s="102" t="s">
        <v>400</v>
      </c>
      <c r="C82" s="100">
        <v>0</v>
      </c>
      <c r="D82" s="5"/>
      <c r="E82" s="97"/>
      <c r="F82" s="107" t="s">
        <v>21</v>
      </c>
      <c r="G82" s="100">
        <v>2</v>
      </c>
      <c r="I82" s="102" t="s">
        <v>400</v>
      </c>
      <c r="J82" s="100">
        <f t="shared" ca="1" si="6"/>
        <v>0</v>
      </c>
      <c r="K82" s="100">
        <f t="shared" ca="1" si="7"/>
        <v>0</v>
      </c>
      <c r="L82" s="101">
        <f t="shared" ca="1" si="8"/>
        <v>0</v>
      </c>
      <c r="M82" s="6"/>
    </row>
    <row r="83" spans="1:13">
      <c r="B83" s="102" t="s">
        <v>405</v>
      </c>
      <c r="C83" s="100">
        <v>1</v>
      </c>
      <c r="D83" s="5"/>
      <c r="E83" s="96"/>
      <c r="F83" s="102" t="s">
        <v>293</v>
      </c>
      <c r="G83" s="100">
        <v>1</v>
      </c>
      <c r="I83" s="102" t="s">
        <v>405</v>
      </c>
      <c r="J83" s="100">
        <f t="shared" ca="1" si="6"/>
        <v>1</v>
      </c>
      <c r="K83" s="100">
        <f t="shared" ca="1" si="7"/>
        <v>0</v>
      </c>
      <c r="L83" s="101">
        <f t="shared" ca="1" si="8"/>
        <v>1</v>
      </c>
      <c r="M83" s="6"/>
    </row>
    <row r="84" spans="1:13">
      <c r="B84" s="105" t="s">
        <v>159</v>
      </c>
      <c r="C84" s="102">
        <v>9.5</v>
      </c>
      <c r="D84" s="5"/>
      <c r="E84" s="97"/>
      <c r="F84" s="102" t="s">
        <v>53</v>
      </c>
      <c r="G84" s="100">
        <v>1</v>
      </c>
      <c r="I84" s="105" t="s">
        <v>159</v>
      </c>
      <c r="J84" s="100">
        <f t="shared" ca="1" si="6"/>
        <v>9.5</v>
      </c>
      <c r="K84" s="100">
        <f t="shared" ca="1" si="7"/>
        <v>1</v>
      </c>
      <c r="L84" s="101">
        <f t="shared" ca="1" si="8"/>
        <v>8.5</v>
      </c>
      <c r="M84" s="6"/>
    </row>
    <row r="85" spans="1:13">
      <c r="A85" s="7"/>
      <c r="B85" s="104" t="s">
        <v>407</v>
      </c>
      <c r="C85" s="102">
        <v>34</v>
      </c>
      <c r="D85" s="5"/>
      <c r="E85" s="96"/>
      <c r="F85" s="100" t="s">
        <v>151</v>
      </c>
      <c r="G85" s="100">
        <v>0.5</v>
      </c>
      <c r="I85" s="104" t="s">
        <v>407</v>
      </c>
      <c r="J85" s="100">
        <f t="shared" ca="1" si="6"/>
        <v>54</v>
      </c>
      <c r="K85" s="100">
        <f t="shared" ca="1" si="7"/>
        <v>1</v>
      </c>
      <c r="L85" s="101">
        <f t="shared" ca="1" si="8"/>
        <v>53</v>
      </c>
      <c r="M85" s="6"/>
    </row>
    <row r="86" spans="1:13">
      <c r="B86" s="103" t="s">
        <v>162</v>
      </c>
      <c r="C86" s="102">
        <v>10</v>
      </c>
      <c r="D86" s="5"/>
      <c r="E86" s="98"/>
      <c r="F86" s="100" t="s">
        <v>394</v>
      </c>
      <c r="G86" s="100">
        <v>1</v>
      </c>
      <c r="I86" s="103" t="s">
        <v>162</v>
      </c>
      <c r="J86" s="100">
        <f t="shared" ca="1" si="6"/>
        <v>20</v>
      </c>
      <c r="K86" s="100">
        <f t="shared" ca="1" si="7"/>
        <v>1</v>
      </c>
      <c r="L86" s="101">
        <f t="shared" ca="1" si="8"/>
        <v>19</v>
      </c>
      <c r="M86" s="6"/>
    </row>
    <row r="87" spans="1:13">
      <c r="B87" s="103" t="s">
        <v>408</v>
      </c>
      <c r="C87" s="102">
        <v>6</v>
      </c>
      <c r="D87" s="5"/>
      <c r="E87" s="97"/>
      <c r="F87" s="102" t="s">
        <v>47</v>
      </c>
      <c r="G87" s="100">
        <v>1</v>
      </c>
      <c r="I87" s="103" t="s">
        <v>408</v>
      </c>
      <c r="J87" s="100">
        <f t="shared" ca="1" si="6"/>
        <v>16</v>
      </c>
      <c r="K87" s="100">
        <f t="shared" ca="1" si="7"/>
        <v>4</v>
      </c>
      <c r="L87" s="101">
        <f t="shared" ca="1" si="8"/>
        <v>12</v>
      </c>
      <c r="M87" s="6"/>
    </row>
    <row r="88" spans="1:13">
      <c r="A88" s="7"/>
      <c r="B88" s="103" t="s">
        <v>164</v>
      </c>
      <c r="C88" s="100">
        <v>13</v>
      </c>
      <c r="D88" s="5"/>
      <c r="E88" s="97"/>
      <c r="F88" s="105" t="s">
        <v>159</v>
      </c>
      <c r="G88" s="100">
        <v>1</v>
      </c>
      <c r="I88" s="103" t="s">
        <v>164</v>
      </c>
      <c r="J88" s="100">
        <f t="shared" ca="1" si="6"/>
        <v>27</v>
      </c>
      <c r="K88" s="100">
        <f t="shared" ca="1" si="7"/>
        <v>5</v>
      </c>
      <c r="L88" s="101">
        <f t="shared" ca="1" si="8"/>
        <v>22</v>
      </c>
      <c r="M88" s="6"/>
    </row>
    <row r="89" spans="1:13">
      <c r="A89" s="7"/>
      <c r="B89" s="103" t="s">
        <v>411</v>
      </c>
      <c r="C89" s="100">
        <v>24.5</v>
      </c>
      <c r="D89" s="5"/>
      <c r="E89" s="97"/>
      <c r="F89" s="100" t="s">
        <v>147</v>
      </c>
      <c r="G89" s="100">
        <v>1</v>
      </c>
      <c r="I89" s="103" t="s">
        <v>411</v>
      </c>
      <c r="J89" s="100">
        <f t="shared" ca="1" si="6"/>
        <v>32.5</v>
      </c>
      <c r="K89" s="100">
        <f t="shared" ca="1" si="7"/>
        <v>1.5</v>
      </c>
      <c r="L89" s="101">
        <f t="shared" ca="1" si="8"/>
        <v>31</v>
      </c>
      <c r="M89" s="6"/>
    </row>
    <row r="90" spans="1:13">
      <c r="A90" s="7"/>
      <c r="B90" s="103" t="s">
        <v>168</v>
      </c>
      <c r="C90" s="100">
        <v>4.5</v>
      </c>
      <c r="D90" s="5"/>
      <c r="E90" s="96"/>
      <c r="F90" s="102" t="s">
        <v>11</v>
      </c>
      <c r="G90" s="100">
        <v>11</v>
      </c>
      <c r="I90" s="103" t="s">
        <v>168</v>
      </c>
      <c r="J90" s="100">
        <f t="shared" ca="1" si="6"/>
        <v>9.5</v>
      </c>
      <c r="K90" s="100">
        <f t="shared" ca="1" si="7"/>
        <v>0</v>
      </c>
      <c r="L90" s="101">
        <f t="shared" ca="1" si="8"/>
        <v>9.5</v>
      </c>
      <c r="M90" s="6"/>
    </row>
    <row r="91" spans="1:13">
      <c r="A91" s="7"/>
      <c r="B91" s="103" t="s">
        <v>172</v>
      </c>
      <c r="C91" s="102">
        <v>8.5</v>
      </c>
      <c r="D91" s="5"/>
      <c r="E91" s="98"/>
      <c r="F91" s="103" t="s">
        <v>105</v>
      </c>
      <c r="G91" s="100">
        <v>1</v>
      </c>
      <c r="I91" s="103" t="s">
        <v>172</v>
      </c>
      <c r="J91" s="100">
        <f t="shared" ca="1" si="6"/>
        <v>13.5</v>
      </c>
      <c r="K91" s="100">
        <f t="shared" ca="1" si="7"/>
        <v>0</v>
      </c>
      <c r="L91" s="101">
        <f t="shared" ca="1" si="8"/>
        <v>13.5</v>
      </c>
      <c r="M91" s="6"/>
    </row>
    <row r="92" spans="1:13">
      <c r="A92" s="7"/>
      <c r="B92" s="103" t="s">
        <v>811</v>
      </c>
      <c r="C92" s="102">
        <v>0</v>
      </c>
      <c r="D92" s="5"/>
      <c r="E92" s="96">
        <v>43383</v>
      </c>
      <c r="F92" s="105" t="s">
        <v>345</v>
      </c>
      <c r="G92" s="100">
        <v>1</v>
      </c>
      <c r="I92" s="103" t="s">
        <v>811</v>
      </c>
      <c r="J92" s="100">
        <f t="shared" ca="1" si="6"/>
        <v>2</v>
      </c>
      <c r="K92" s="100">
        <f t="shared" ca="1" si="7"/>
        <v>0</v>
      </c>
      <c r="L92" s="101">
        <f t="shared" ca="1" si="8"/>
        <v>2</v>
      </c>
      <c r="M92" s="6"/>
    </row>
    <row r="93" spans="1:13">
      <c r="A93" s="7"/>
      <c r="B93" s="102" t="s">
        <v>15</v>
      </c>
      <c r="C93" s="100">
        <v>1.9999999999999982</v>
      </c>
      <c r="D93" s="5"/>
      <c r="E93" s="98"/>
      <c r="F93" s="102" t="s">
        <v>537</v>
      </c>
      <c r="G93" s="100">
        <v>2</v>
      </c>
      <c r="I93" s="102" t="s">
        <v>15</v>
      </c>
      <c r="J93" s="100">
        <f t="shared" ca="1" si="6"/>
        <v>1.9999999999999982</v>
      </c>
      <c r="K93" s="100">
        <f t="shared" ca="1" si="7"/>
        <v>0</v>
      </c>
      <c r="L93" s="101">
        <f t="shared" ca="1" si="8"/>
        <v>1.9999999999999982</v>
      </c>
      <c r="M93" s="6"/>
    </row>
    <row r="94" spans="1:13">
      <c r="B94" s="102" t="s">
        <v>210</v>
      </c>
      <c r="C94" s="100">
        <v>0</v>
      </c>
      <c r="D94" s="5"/>
      <c r="E94" s="96"/>
      <c r="F94" s="102" t="s">
        <v>476</v>
      </c>
      <c r="G94" s="100">
        <v>1</v>
      </c>
      <c r="I94" s="102" t="s">
        <v>210</v>
      </c>
      <c r="J94" s="100">
        <f t="shared" ca="1" si="6"/>
        <v>30</v>
      </c>
      <c r="K94" s="100">
        <f t="shared" ca="1" si="7"/>
        <v>0</v>
      </c>
      <c r="L94" s="101">
        <f t="shared" ca="1" si="8"/>
        <v>30</v>
      </c>
      <c r="M94" s="6"/>
    </row>
    <row r="95" spans="1:13">
      <c r="A95" s="7"/>
      <c r="B95" s="100" t="s">
        <v>703</v>
      </c>
      <c r="C95" s="100">
        <v>3</v>
      </c>
      <c r="D95" s="5"/>
      <c r="E95" s="98"/>
      <c r="F95" s="105" t="s">
        <v>694</v>
      </c>
      <c r="G95" s="100">
        <v>1</v>
      </c>
      <c r="I95" s="100" t="s">
        <v>703</v>
      </c>
      <c r="J95" s="100">
        <f t="shared" ca="1" si="6"/>
        <v>3</v>
      </c>
      <c r="K95" s="100">
        <f t="shared" ca="1" si="7"/>
        <v>0</v>
      </c>
      <c r="L95" s="101">
        <f t="shared" ca="1" si="8"/>
        <v>3</v>
      </c>
      <c r="M95" s="6"/>
    </row>
    <row r="96" spans="1:13">
      <c r="B96" s="100" t="s">
        <v>702</v>
      </c>
      <c r="C96" s="102">
        <v>1</v>
      </c>
      <c r="D96" s="5"/>
      <c r="E96" s="98"/>
      <c r="F96" s="100" t="s">
        <v>394</v>
      </c>
      <c r="G96" s="100">
        <v>2</v>
      </c>
      <c r="I96" s="100" t="s">
        <v>702</v>
      </c>
      <c r="J96" s="100">
        <f t="shared" ca="1" si="6"/>
        <v>1</v>
      </c>
      <c r="K96" s="100">
        <f t="shared" ca="1" si="7"/>
        <v>0</v>
      </c>
      <c r="L96" s="101">
        <f t="shared" ca="1" si="8"/>
        <v>1</v>
      </c>
      <c r="M96" s="6"/>
    </row>
    <row r="97" spans="1:15">
      <c r="B97" s="102" t="s">
        <v>220</v>
      </c>
      <c r="C97" s="100">
        <v>6</v>
      </c>
      <c r="D97" s="5"/>
      <c r="E97" s="98"/>
      <c r="F97" s="102" t="s">
        <v>220</v>
      </c>
      <c r="G97" s="100">
        <v>1</v>
      </c>
      <c r="I97" s="102" t="s">
        <v>220</v>
      </c>
      <c r="J97" s="100">
        <f t="shared" ca="1" si="6"/>
        <v>6</v>
      </c>
      <c r="K97" s="100">
        <f t="shared" ca="1" si="7"/>
        <v>3</v>
      </c>
      <c r="L97" s="101">
        <f t="shared" ca="1" si="8"/>
        <v>3</v>
      </c>
      <c r="M97" s="6"/>
    </row>
    <row r="98" spans="1:15">
      <c r="B98" s="102" t="s">
        <v>221</v>
      </c>
      <c r="C98" s="100">
        <v>18.25</v>
      </c>
      <c r="D98" s="5"/>
      <c r="E98" s="96"/>
      <c r="F98" s="102" t="s">
        <v>282</v>
      </c>
      <c r="G98" s="100">
        <v>1</v>
      </c>
      <c r="I98" s="102" t="s">
        <v>221</v>
      </c>
      <c r="J98" s="100">
        <f t="shared" ref="J98:J129" ca="1" si="9">SUMIF(B:C,I98,C:C)</f>
        <v>18.25</v>
      </c>
      <c r="K98" s="100">
        <f t="shared" ref="K98:K129" ca="1" si="10">SUMIF(F:G,I98,G:G)</f>
        <v>1</v>
      </c>
      <c r="L98" s="101">
        <f t="shared" ref="L98:L129" ca="1" si="11">J98-K98</f>
        <v>17.25</v>
      </c>
      <c r="M98" s="6"/>
    </row>
    <row r="99" spans="1:15">
      <c r="B99" s="102" t="s">
        <v>224</v>
      </c>
      <c r="C99" s="100">
        <v>2</v>
      </c>
      <c r="D99" s="5"/>
      <c r="E99" s="100"/>
      <c r="F99" s="102" t="s">
        <v>11</v>
      </c>
      <c r="G99" s="100">
        <v>12</v>
      </c>
      <c r="I99" s="102" t="s">
        <v>224</v>
      </c>
      <c r="J99" s="100">
        <f t="shared" ca="1" si="9"/>
        <v>2</v>
      </c>
      <c r="K99" s="100">
        <f t="shared" ca="1" si="10"/>
        <v>1</v>
      </c>
      <c r="L99" s="101">
        <f t="shared" ca="1" si="11"/>
        <v>1</v>
      </c>
      <c r="M99" s="6"/>
    </row>
    <row r="100" spans="1:15">
      <c r="A100" s="7"/>
      <c r="B100" s="102" t="s">
        <v>225</v>
      </c>
      <c r="C100" s="100">
        <v>21</v>
      </c>
      <c r="D100" s="5"/>
      <c r="E100" s="98"/>
      <c r="F100" s="103" t="s">
        <v>408</v>
      </c>
      <c r="G100" s="100">
        <v>1</v>
      </c>
      <c r="I100" s="102" t="s">
        <v>225</v>
      </c>
      <c r="J100" s="100">
        <f t="shared" ca="1" si="9"/>
        <v>21</v>
      </c>
      <c r="K100" s="100">
        <f t="shared" ca="1" si="10"/>
        <v>0</v>
      </c>
      <c r="L100" s="101">
        <f t="shared" ca="1" si="11"/>
        <v>21</v>
      </c>
      <c r="M100" s="6"/>
    </row>
    <row r="101" spans="1:15">
      <c r="A101" s="7"/>
      <c r="B101" s="102" t="s">
        <v>227</v>
      </c>
      <c r="C101" s="100">
        <v>8</v>
      </c>
      <c r="D101" s="5"/>
      <c r="E101" s="100"/>
      <c r="F101" s="107"/>
      <c r="G101" s="100"/>
      <c r="I101" s="102" t="s">
        <v>227</v>
      </c>
      <c r="J101" s="100">
        <f t="shared" ca="1" si="9"/>
        <v>8</v>
      </c>
      <c r="K101" s="100">
        <f t="shared" ca="1" si="10"/>
        <v>0</v>
      </c>
      <c r="L101" s="101">
        <f t="shared" ca="1" si="11"/>
        <v>8</v>
      </c>
      <c r="M101" s="6"/>
    </row>
    <row r="102" spans="1:15">
      <c r="B102" s="102" t="s">
        <v>229</v>
      </c>
      <c r="C102" s="100">
        <v>3.5</v>
      </c>
      <c r="D102" s="5"/>
      <c r="E102" s="100"/>
      <c r="F102" s="103"/>
      <c r="G102" s="100"/>
      <c r="I102" s="102" t="s">
        <v>229</v>
      </c>
      <c r="J102" s="100">
        <f t="shared" ca="1" si="9"/>
        <v>3.5</v>
      </c>
      <c r="K102" s="100">
        <f t="shared" ca="1" si="10"/>
        <v>0</v>
      </c>
      <c r="L102" s="101">
        <f t="shared" ca="1" si="11"/>
        <v>3.5</v>
      </c>
      <c r="M102" s="6"/>
    </row>
    <row r="103" spans="1:15">
      <c r="A103" s="7"/>
      <c r="B103" s="102" t="s">
        <v>62</v>
      </c>
      <c r="C103" s="100">
        <v>5</v>
      </c>
      <c r="D103" s="5"/>
      <c r="E103" s="100"/>
      <c r="F103" s="102"/>
      <c r="G103" s="100"/>
      <c r="I103" s="102" t="s">
        <v>62</v>
      </c>
      <c r="J103" s="100">
        <f t="shared" ca="1" si="9"/>
        <v>5</v>
      </c>
      <c r="K103" s="100">
        <f t="shared" ca="1" si="10"/>
        <v>0</v>
      </c>
      <c r="L103" s="101">
        <f t="shared" ca="1" si="11"/>
        <v>5</v>
      </c>
      <c r="M103" s="6"/>
    </row>
    <row r="104" spans="1:15">
      <c r="B104" s="102" t="s">
        <v>476</v>
      </c>
      <c r="C104" s="100">
        <v>130</v>
      </c>
      <c r="D104" s="5"/>
      <c r="E104" s="98"/>
      <c r="F104" s="102"/>
      <c r="G104" s="100"/>
      <c r="I104" s="102" t="s">
        <v>476</v>
      </c>
      <c r="J104" s="100">
        <f t="shared" ca="1" si="9"/>
        <v>130</v>
      </c>
      <c r="K104" s="100">
        <f t="shared" ca="1" si="10"/>
        <v>21</v>
      </c>
      <c r="L104" s="101">
        <f t="shared" ca="1" si="11"/>
        <v>109</v>
      </c>
      <c r="M104" s="6"/>
    </row>
    <row r="105" spans="1:15">
      <c r="A105" s="7"/>
      <c r="B105" s="102" t="s">
        <v>477</v>
      </c>
      <c r="C105" s="100">
        <v>0</v>
      </c>
      <c r="D105" s="5"/>
      <c r="E105" s="97"/>
      <c r="F105" s="102"/>
      <c r="G105" s="100"/>
      <c r="I105" s="102" t="s">
        <v>477</v>
      </c>
      <c r="J105" s="100">
        <f t="shared" ca="1" si="9"/>
        <v>0</v>
      </c>
      <c r="K105" s="100">
        <f t="shared" ca="1" si="10"/>
        <v>0</v>
      </c>
      <c r="L105" s="101">
        <f t="shared" ca="1" si="11"/>
        <v>0</v>
      </c>
      <c r="M105" s="6"/>
    </row>
    <row r="106" spans="1:15">
      <c r="B106" s="102" t="s">
        <v>503</v>
      </c>
      <c r="C106" s="100">
        <v>1</v>
      </c>
      <c r="D106" s="5"/>
      <c r="E106" s="96"/>
      <c r="F106" s="102"/>
      <c r="G106" s="100"/>
      <c r="I106" s="102" t="s">
        <v>503</v>
      </c>
      <c r="J106" s="100">
        <f t="shared" ca="1" si="9"/>
        <v>6</v>
      </c>
      <c r="K106" s="100">
        <f t="shared" ca="1" si="10"/>
        <v>0</v>
      </c>
      <c r="L106" s="101">
        <f t="shared" ca="1" si="11"/>
        <v>6</v>
      </c>
      <c r="M106" s="6"/>
    </row>
    <row r="107" spans="1:15">
      <c r="A107" s="7"/>
      <c r="B107" s="102" t="s">
        <v>504</v>
      </c>
      <c r="C107" s="100">
        <v>3</v>
      </c>
      <c r="D107" s="5"/>
      <c r="E107" s="98"/>
      <c r="F107" s="102"/>
      <c r="G107" s="100"/>
      <c r="I107" s="102" t="s">
        <v>504</v>
      </c>
      <c r="J107" s="100">
        <f t="shared" ca="1" si="9"/>
        <v>3</v>
      </c>
      <c r="K107" s="100">
        <f t="shared" ca="1" si="10"/>
        <v>0</v>
      </c>
      <c r="L107" s="101">
        <f t="shared" ca="1" si="11"/>
        <v>3</v>
      </c>
      <c r="M107" s="6"/>
    </row>
    <row r="108" spans="1:15">
      <c r="B108" s="102" t="s">
        <v>505</v>
      </c>
      <c r="C108" s="100">
        <v>0</v>
      </c>
      <c r="D108" s="5"/>
      <c r="E108" s="96"/>
      <c r="F108" s="102"/>
      <c r="G108" s="100"/>
      <c r="I108" s="102" t="s">
        <v>505</v>
      </c>
      <c r="J108" s="100">
        <f t="shared" ca="1" si="9"/>
        <v>10</v>
      </c>
      <c r="K108" s="100">
        <f t="shared" ca="1" si="10"/>
        <v>0</v>
      </c>
      <c r="L108" s="101">
        <f t="shared" ca="1" si="11"/>
        <v>10</v>
      </c>
      <c r="M108" s="6"/>
    </row>
    <row r="109" spans="1:15">
      <c r="A109" s="7"/>
      <c r="B109" s="102" t="s">
        <v>506</v>
      </c>
      <c r="C109" s="102">
        <v>18</v>
      </c>
      <c r="D109" s="5"/>
      <c r="E109" s="98"/>
      <c r="F109" s="102"/>
      <c r="G109" s="100"/>
      <c r="I109" s="102" t="s">
        <v>506</v>
      </c>
      <c r="J109" s="100">
        <f t="shared" ca="1" si="9"/>
        <v>18</v>
      </c>
      <c r="K109" s="100">
        <f t="shared" ca="1" si="10"/>
        <v>2</v>
      </c>
      <c r="L109" s="101">
        <f t="shared" ca="1" si="11"/>
        <v>16</v>
      </c>
      <c r="M109" s="6"/>
    </row>
    <row r="110" spans="1:15">
      <c r="B110" s="104" t="s">
        <v>22</v>
      </c>
      <c r="C110" s="100">
        <v>12</v>
      </c>
      <c r="D110" s="5"/>
      <c r="E110" s="97"/>
      <c r="F110" s="102"/>
      <c r="G110" s="100"/>
      <c r="I110" s="104" t="s">
        <v>22</v>
      </c>
      <c r="J110" s="100">
        <f t="shared" ca="1" si="9"/>
        <v>12</v>
      </c>
      <c r="K110" s="100">
        <f t="shared" ca="1" si="10"/>
        <v>0</v>
      </c>
      <c r="L110" s="101">
        <f t="shared" ca="1" si="11"/>
        <v>12</v>
      </c>
      <c r="M110" s="6"/>
    </row>
    <row r="111" spans="1:15">
      <c r="B111" s="104" t="s">
        <v>529</v>
      </c>
      <c r="C111" s="100">
        <v>14</v>
      </c>
      <c r="D111" s="5"/>
      <c r="E111" s="97"/>
      <c r="F111" s="102"/>
      <c r="G111" s="100"/>
      <c r="H111" s="6"/>
      <c r="I111" s="104" t="s">
        <v>529</v>
      </c>
      <c r="J111" s="100">
        <f t="shared" ca="1" si="9"/>
        <v>14</v>
      </c>
      <c r="K111" s="100">
        <f t="shared" ca="1" si="10"/>
        <v>0</v>
      </c>
      <c r="L111" s="101">
        <f t="shared" ca="1" si="11"/>
        <v>14</v>
      </c>
      <c r="M111" s="6"/>
    </row>
    <row r="112" spans="1:15" s="99" customFormat="1">
      <c r="A112" s="97"/>
      <c r="B112" s="110" t="s">
        <v>815</v>
      </c>
      <c r="C112" s="100">
        <v>29</v>
      </c>
      <c r="D112" s="5"/>
      <c r="E112" s="97"/>
      <c r="F112" s="102"/>
      <c r="G112" s="100"/>
      <c r="H112" s="6"/>
      <c r="I112" s="110" t="s">
        <v>815</v>
      </c>
      <c r="J112" s="100">
        <f t="shared" ca="1" si="9"/>
        <v>29</v>
      </c>
      <c r="K112" s="100">
        <f t="shared" ca="1" si="10"/>
        <v>2</v>
      </c>
      <c r="L112" s="101">
        <f t="shared" ca="1" si="11"/>
        <v>27</v>
      </c>
      <c r="M112" s="6"/>
      <c r="O112" s="6"/>
    </row>
    <row r="113" spans="1:15" s="99" customFormat="1">
      <c r="A113" s="97"/>
      <c r="B113" s="104" t="s">
        <v>814</v>
      </c>
      <c r="C113" s="100">
        <v>27</v>
      </c>
      <c r="D113" s="5"/>
      <c r="E113" s="97"/>
      <c r="F113" s="102"/>
      <c r="G113" s="100"/>
      <c r="H113" s="6"/>
      <c r="I113" s="104" t="s">
        <v>814</v>
      </c>
      <c r="J113" s="100">
        <f t="shared" ca="1" si="9"/>
        <v>27</v>
      </c>
      <c r="K113" s="100">
        <f t="shared" ca="1" si="10"/>
        <v>2</v>
      </c>
      <c r="L113" s="101">
        <f t="shared" ca="1" si="11"/>
        <v>25</v>
      </c>
      <c r="M113" s="6"/>
      <c r="O113" s="6"/>
    </row>
    <row r="114" spans="1:15">
      <c r="A114" s="4"/>
      <c r="B114" s="102" t="s">
        <v>534</v>
      </c>
      <c r="C114" s="100">
        <v>58</v>
      </c>
      <c r="D114" s="5"/>
      <c r="E114" s="97"/>
      <c r="F114" s="102"/>
      <c r="G114" s="100"/>
      <c r="H114" s="6"/>
      <c r="I114" s="102" t="s">
        <v>534</v>
      </c>
      <c r="J114" s="100">
        <f t="shared" ca="1" si="9"/>
        <v>58</v>
      </c>
      <c r="K114" s="100">
        <f t="shared" ca="1" si="10"/>
        <v>2</v>
      </c>
      <c r="L114" s="101">
        <f t="shared" ca="1" si="11"/>
        <v>56</v>
      </c>
      <c r="M114" s="6"/>
    </row>
    <row r="115" spans="1:15">
      <c r="B115" s="102" t="s">
        <v>535</v>
      </c>
      <c r="C115" s="100">
        <v>43</v>
      </c>
      <c r="D115" s="5"/>
      <c r="E115" s="97"/>
      <c r="F115" s="100"/>
      <c r="G115" s="100"/>
      <c r="H115" s="6"/>
      <c r="I115" s="102" t="s">
        <v>535</v>
      </c>
      <c r="J115" s="100">
        <f t="shared" ca="1" si="9"/>
        <v>43</v>
      </c>
      <c r="K115" s="100">
        <f t="shared" ca="1" si="10"/>
        <v>5</v>
      </c>
      <c r="L115" s="101">
        <f t="shared" ca="1" si="11"/>
        <v>38</v>
      </c>
      <c r="M115" s="6"/>
    </row>
    <row r="116" spans="1:15">
      <c r="B116" s="103" t="s">
        <v>536</v>
      </c>
      <c r="C116" s="100">
        <v>1</v>
      </c>
      <c r="D116" s="5"/>
      <c r="E116" s="97"/>
      <c r="F116" s="100"/>
      <c r="G116" s="100"/>
      <c r="H116" s="6"/>
      <c r="I116" s="103" t="s">
        <v>536</v>
      </c>
      <c r="J116" s="100">
        <f t="shared" ca="1" si="9"/>
        <v>1</v>
      </c>
      <c r="K116" s="100">
        <f t="shared" ca="1" si="10"/>
        <v>0</v>
      </c>
      <c r="L116" s="101">
        <f t="shared" ca="1" si="11"/>
        <v>1</v>
      </c>
      <c r="M116" s="6"/>
    </row>
    <row r="117" spans="1:15">
      <c r="B117" s="102" t="s">
        <v>537</v>
      </c>
      <c r="C117" s="100">
        <v>49</v>
      </c>
      <c r="D117" s="5"/>
      <c r="E117" s="97"/>
      <c r="F117" s="100"/>
      <c r="G117" s="100"/>
      <c r="H117" s="6"/>
      <c r="I117" s="102" t="s">
        <v>537</v>
      </c>
      <c r="J117" s="100">
        <f t="shared" ca="1" si="9"/>
        <v>49</v>
      </c>
      <c r="K117" s="100">
        <f t="shared" ca="1" si="10"/>
        <v>4</v>
      </c>
      <c r="L117" s="101">
        <f t="shared" ca="1" si="11"/>
        <v>45</v>
      </c>
      <c r="M117" s="6"/>
    </row>
    <row r="118" spans="1:15">
      <c r="B118" s="102" t="s">
        <v>538</v>
      </c>
      <c r="C118" s="100">
        <v>186</v>
      </c>
      <c r="D118" s="5"/>
      <c r="E118" s="96"/>
      <c r="F118" s="103"/>
      <c r="G118" s="100"/>
      <c r="H118" s="6"/>
      <c r="I118" s="102" t="s">
        <v>538</v>
      </c>
      <c r="J118" s="100">
        <f t="shared" ca="1" si="9"/>
        <v>186</v>
      </c>
      <c r="K118" s="100">
        <f t="shared" ca="1" si="10"/>
        <v>0</v>
      </c>
      <c r="L118" s="101">
        <f t="shared" ca="1" si="11"/>
        <v>186</v>
      </c>
      <c r="M118" s="6"/>
    </row>
    <row r="119" spans="1:15">
      <c r="B119" s="102" t="s">
        <v>539</v>
      </c>
      <c r="C119" s="100">
        <v>215</v>
      </c>
      <c r="D119" s="5"/>
      <c r="E119" s="97"/>
      <c r="F119" s="103"/>
      <c r="G119" s="100"/>
      <c r="H119" s="6"/>
      <c r="I119" s="102" t="s">
        <v>539</v>
      </c>
      <c r="J119" s="100">
        <f t="shared" ca="1" si="9"/>
        <v>215</v>
      </c>
      <c r="K119" s="100">
        <f t="shared" ca="1" si="10"/>
        <v>20</v>
      </c>
      <c r="L119" s="101">
        <f t="shared" ca="1" si="11"/>
        <v>195</v>
      </c>
      <c r="M119" s="6"/>
    </row>
    <row r="120" spans="1:15">
      <c r="B120" s="102" t="s">
        <v>542</v>
      </c>
      <c r="C120" s="102">
        <v>2</v>
      </c>
      <c r="D120" s="5"/>
      <c r="E120" s="97"/>
      <c r="F120" s="103"/>
      <c r="G120" s="100"/>
      <c r="H120" s="6"/>
      <c r="I120" s="102" t="s">
        <v>542</v>
      </c>
      <c r="J120" s="100">
        <f t="shared" ca="1" si="9"/>
        <v>2</v>
      </c>
      <c r="K120" s="100">
        <f t="shared" ca="1" si="10"/>
        <v>0</v>
      </c>
      <c r="L120" s="101">
        <f t="shared" ca="1" si="11"/>
        <v>2</v>
      </c>
      <c r="M120" s="6"/>
    </row>
    <row r="121" spans="1:15">
      <c r="B121" s="102" t="s">
        <v>543</v>
      </c>
      <c r="C121" s="102">
        <v>266</v>
      </c>
      <c r="D121" s="5"/>
      <c r="E121" s="97"/>
      <c r="F121" s="102"/>
      <c r="G121" s="100"/>
      <c r="H121" s="6"/>
      <c r="I121" s="102" t="s">
        <v>543</v>
      </c>
      <c r="J121" s="100">
        <f t="shared" ca="1" si="9"/>
        <v>266</v>
      </c>
      <c r="K121" s="100">
        <f t="shared" ca="1" si="10"/>
        <v>4</v>
      </c>
      <c r="L121" s="101">
        <f t="shared" ca="1" si="11"/>
        <v>262</v>
      </c>
      <c r="M121" s="6"/>
    </row>
    <row r="122" spans="1:15">
      <c r="B122" s="102" t="s">
        <v>546</v>
      </c>
      <c r="C122" s="102">
        <v>54</v>
      </c>
      <c r="D122" s="5"/>
      <c r="E122" s="97"/>
      <c r="F122" s="102"/>
      <c r="G122" s="100"/>
      <c r="H122" s="6"/>
      <c r="I122" s="102" t="s">
        <v>546</v>
      </c>
      <c r="J122" s="100">
        <f t="shared" ca="1" si="9"/>
        <v>54</v>
      </c>
      <c r="K122" s="100">
        <f t="shared" ca="1" si="10"/>
        <v>1</v>
      </c>
      <c r="L122" s="101">
        <f t="shared" ca="1" si="11"/>
        <v>53</v>
      </c>
      <c r="M122" s="6"/>
    </row>
    <row r="123" spans="1:15">
      <c r="A123" s="94"/>
      <c r="B123" s="102" t="s">
        <v>547</v>
      </c>
      <c r="C123" s="102">
        <v>52</v>
      </c>
      <c r="D123" s="5"/>
      <c r="E123" s="98"/>
      <c r="F123" s="102"/>
      <c r="G123" s="100"/>
      <c r="H123" s="6"/>
      <c r="I123" s="102" t="s">
        <v>547</v>
      </c>
      <c r="J123" s="100">
        <f t="shared" ca="1" si="9"/>
        <v>52</v>
      </c>
      <c r="K123" s="100">
        <f t="shared" ca="1" si="10"/>
        <v>0</v>
      </c>
      <c r="L123" s="101">
        <f t="shared" ca="1" si="11"/>
        <v>52</v>
      </c>
      <c r="M123" s="6"/>
    </row>
    <row r="124" spans="1:15">
      <c r="A124" s="93"/>
      <c r="B124" s="102" t="s">
        <v>548</v>
      </c>
      <c r="C124" s="100">
        <v>31</v>
      </c>
      <c r="D124" s="5"/>
      <c r="E124" s="98"/>
      <c r="F124" s="100"/>
      <c r="G124" s="100"/>
      <c r="H124" s="6"/>
      <c r="I124" s="102" t="s">
        <v>548</v>
      </c>
      <c r="J124" s="100">
        <f t="shared" ca="1" si="9"/>
        <v>31</v>
      </c>
      <c r="K124" s="100">
        <f t="shared" ca="1" si="10"/>
        <v>0</v>
      </c>
      <c r="L124" s="101">
        <f t="shared" ca="1" si="11"/>
        <v>31</v>
      </c>
      <c r="M124" s="6"/>
    </row>
    <row r="125" spans="1:15">
      <c r="A125" s="92"/>
      <c r="B125" s="102" t="s">
        <v>549</v>
      </c>
      <c r="C125" s="100">
        <v>68</v>
      </c>
      <c r="D125" s="5"/>
      <c r="E125" s="97"/>
      <c r="F125" s="102"/>
      <c r="G125" s="100"/>
      <c r="H125" s="99"/>
      <c r="I125" s="102" t="s">
        <v>549</v>
      </c>
      <c r="J125" s="100">
        <f t="shared" ca="1" si="9"/>
        <v>68</v>
      </c>
      <c r="K125" s="100">
        <f t="shared" ca="1" si="10"/>
        <v>6</v>
      </c>
      <c r="L125" s="101">
        <f t="shared" ca="1" si="11"/>
        <v>62</v>
      </c>
      <c r="M125" s="6"/>
    </row>
    <row r="126" spans="1:15">
      <c r="A126" s="95"/>
      <c r="B126" s="102" t="s">
        <v>550</v>
      </c>
      <c r="C126" s="100">
        <v>47</v>
      </c>
      <c r="D126" s="5"/>
      <c r="E126" s="98"/>
      <c r="F126" s="102"/>
      <c r="G126" s="100"/>
      <c r="H126" s="99"/>
      <c r="I126" s="102" t="s">
        <v>550</v>
      </c>
      <c r="J126" s="100">
        <f t="shared" ca="1" si="9"/>
        <v>47</v>
      </c>
      <c r="K126" s="100">
        <f t="shared" ca="1" si="10"/>
        <v>0</v>
      </c>
      <c r="L126" s="101">
        <f t="shared" ca="1" si="11"/>
        <v>47</v>
      </c>
      <c r="M126" s="6"/>
    </row>
    <row r="127" spans="1:15">
      <c r="A127" s="95"/>
      <c r="B127" s="102" t="s">
        <v>551</v>
      </c>
      <c r="C127" s="100">
        <v>61</v>
      </c>
      <c r="D127" s="5"/>
      <c r="E127" s="98"/>
      <c r="F127" s="102"/>
      <c r="G127" s="100"/>
      <c r="H127" s="99"/>
      <c r="I127" s="102" t="s">
        <v>551</v>
      </c>
      <c r="J127" s="100">
        <f t="shared" ca="1" si="9"/>
        <v>61</v>
      </c>
      <c r="K127" s="100">
        <f t="shared" ca="1" si="10"/>
        <v>0</v>
      </c>
      <c r="L127" s="101">
        <f t="shared" ca="1" si="11"/>
        <v>61</v>
      </c>
      <c r="M127" s="6"/>
    </row>
    <row r="128" spans="1:15">
      <c r="A128" s="92"/>
      <c r="B128" s="100" t="s">
        <v>809</v>
      </c>
      <c r="C128" s="100">
        <v>17</v>
      </c>
      <c r="D128" s="5"/>
      <c r="E128" s="97"/>
      <c r="F128" s="103"/>
      <c r="G128" s="100"/>
      <c r="H128" s="6"/>
      <c r="I128" s="100" t="s">
        <v>809</v>
      </c>
      <c r="J128" s="100">
        <f t="shared" ca="1" si="9"/>
        <v>17</v>
      </c>
      <c r="K128" s="100">
        <f t="shared" ca="1" si="10"/>
        <v>2</v>
      </c>
      <c r="L128" s="101">
        <f t="shared" ca="1" si="11"/>
        <v>15</v>
      </c>
      <c r="M128" s="6"/>
    </row>
    <row r="129" spans="1:17">
      <c r="A129" s="94"/>
      <c r="B129" s="100" t="s">
        <v>557</v>
      </c>
      <c r="C129" s="100">
        <v>65</v>
      </c>
      <c r="D129" s="5"/>
      <c r="E129" s="96"/>
      <c r="F129" s="102"/>
      <c r="G129" s="100"/>
      <c r="H129" s="6"/>
      <c r="I129" s="100" t="s">
        <v>557</v>
      </c>
      <c r="J129" s="100">
        <f t="shared" ca="1" si="9"/>
        <v>65</v>
      </c>
      <c r="K129" s="100">
        <f t="shared" ca="1" si="10"/>
        <v>0</v>
      </c>
      <c r="L129" s="101">
        <f t="shared" ca="1" si="11"/>
        <v>65</v>
      </c>
      <c r="M129" s="6"/>
    </row>
    <row r="130" spans="1:17">
      <c r="A130" s="92"/>
      <c r="B130" s="100" t="s">
        <v>810</v>
      </c>
      <c r="C130" s="100">
        <v>82</v>
      </c>
      <c r="D130" s="5"/>
      <c r="E130" s="98"/>
      <c r="F130" s="105"/>
      <c r="G130" s="100"/>
      <c r="I130" s="100" t="s">
        <v>810</v>
      </c>
      <c r="J130" s="100">
        <f t="shared" ref="J130:J135" ca="1" si="12">SUMIF(B:C,I130,C:C)</f>
        <v>82</v>
      </c>
      <c r="K130" s="100">
        <f t="shared" ref="K130:K135" ca="1" si="13">SUMIF(F:G,I130,G:G)</f>
        <v>0</v>
      </c>
      <c r="L130" s="101">
        <f t="shared" ref="L130:L135" ca="1" si="14">J130-K130</f>
        <v>82</v>
      </c>
      <c r="M130" s="6"/>
    </row>
    <row r="131" spans="1:17">
      <c r="A131" s="92"/>
      <c r="B131" s="100" t="s">
        <v>560</v>
      </c>
      <c r="C131" s="100">
        <v>72</v>
      </c>
      <c r="D131" s="5"/>
      <c r="E131" s="97"/>
      <c r="F131" s="102"/>
      <c r="G131" s="100"/>
      <c r="H131" s="91"/>
      <c r="I131" s="100" t="s">
        <v>560</v>
      </c>
      <c r="J131" s="100">
        <f t="shared" ca="1" si="12"/>
        <v>72</v>
      </c>
      <c r="K131" s="100">
        <f t="shared" ca="1" si="13"/>
        <v>0</v>
      </c>
      <c r="L131" s="101">
        <f t="shared" ca="1" si="14"/>
        <v>72</v>
      </c>
      <c r="M131" s="6"/>
      <c r="O131" s="5"/>
      <c r="P131" s="2"/>
      <c r="Q131" s="2"/>
    </row>
    <row r="132" spans="1:17">
      <c r="A132" s="92"/>
      <c r="B132" s="100" t="s">
        <v>806</v>
      </c>
      <c r="C132" s="100">
        <v>56</v>
      </c>
      <c r="D132" s="5"/>
      <c r="E132" s="97"/>
      <c r="F132" s="100"/>
      <c r="G132" s="100"/>
      <c r="H132" s="91"/>
      <c r="I132" s="100" t="s">
        <v>806</v>
      </c>
      <c r="J132" s="100">
        <f t="shared" ca="1" si="12"/>
        <v>56</v>
      </c>
      <c r="K132" s="100">
        <f t="shared" ca="1" si="13"/>
        <v>0</v>
      </c>
      <c r="L132" s="101">
        <f t="shared" ca="1" si="14"/>
        <v>56</v>
      </c>
      <c r="M132" s="6"/>
      <c r="O132" s="41"/>
      <c r="P132" s="5"/>
      <c r="Q132" s="2"/>
    </row>
    <row r="133" spans="1:17">
      <c r="A133" s="96"/>
      <c r="B133" s="44" t="s">
        <v>816</v>
      </c>
      <c r="C133" s="100">
        <v>39</v>
      </c>
      <c r="D133" s="5"/>
      <c r="E133" s="97"/>
      <c r="F133" s="103"/>
      <c r="G133" s="100"/>
      <c r="H133" s="91"/>
      <c r="I133" s="44" t="s">
        <v>816</v>
      </c>
      <c r="J133" s="100">
        <f t="shared" ca="1" si="12"/>
        <v>39</v>
      </c>
      <c r="K133" s="100">
        <f t="shared" ca="1" si="13"/>
        <v>2</v>
      </c>
      <c r="L133" s="101">
        <f t="shared" ca="1" si="14"/>
        <v>37</v>
      </c>
      <c r="M133" s="6"/>
      <c r="O133" s="42"/>
      <c r="P133" s="5"/>
      <c r="Q133" s="2"/>
    </row>
    <row r="134" spans="1:17">
      <c r="A134" s="96"/>
      <c r="B134" s="102" t="s">
        <v>146</v>
      </c>
      <c r="C134" s="102">
        <v>1</v>
      </c>
      <c r="D134" s="5"/>
      <c r="E134" s="97"/>
      <c r="F134" s="106"/>
      <c r="G134" s="100"/>
      <c r="H134" s="91"/>
      <c r="I134" s="102" t="s">
        <v>146</v>
      </c>
      <c r="J134" s="100">
        <f t="shared" ca="1" si="12"/>
        <v>11</v>
      </c>
      <c r="K134" s="100">
        <f t="shared" ca="1" si="13"/>
        <v>0</v>
      </c>
      <c r="L134" s="101">
        <f t="shared" ca="1" si="14"/>
        <v>11</v>
      </c>
      <c r="M134" s="6"/>
      <c r="O134" s="43"/>
      <c r="P134" s="5"/>
      <c r="Q134" s="2"/>
    </row>
    <row r="135" spans="1:17">
      <c r="A135" s="96"/>
      <c r="B135" s="103" t="s">
        <v>97</v>
      </c>
      <c r="C135" s="100">
        <v>10</v>
      </c>
      <c r="D135" s="5"/>
      <c r="E135" s="98"/>
      <c r="F135" s="102"/>
      <c r="G135" s="100"/>
      <c r="H135" s="91"/>
      <c r="I135" s="103" t="s">
        <v>97</v>
      </c>
      <c r="J135" s="100">
        <f t="shared" ca="1" si="12"/>
        <v>10</v>
      </c>
      <c r="K135" s="100">
        <f t="shared" ca="1" si="13"/>
        <v>0</v>
      </c>
      <c r="L135" s="101">
        <f t="shared" ca="1" si="14"/>
        <v>10</v>
      </c>
      <c r="M135" s="6"/>
      <c r="O135" s="41"/>
      <c r="P135" s="5"/>
      <c r="Q135" s="2"/>
    </row>
    <row r="136" spans="1:17">
      <c r="A136" s="100"/>
      <c r="B136" s="102" t="s">
        <v>66</v>
      </c>
      <c r="C136" s="100">
        <v>10</v>
      </c>
      <c r="D136" s="5"/>
      <c r="E136" s="96"/>
      <c r="F136" s="104"/>
      <c r="G136" s="100"/>
      <c r="H136" s="91"/>
      <c r="I136" s="115" t="s">
        <v>111</v>
      </c>
      <c r="J136" s="100">
        <f t="shared" ref="J136:J148" ca="1" si="15">SUMIF(B:C,I136,C:C)</f>
        <v>5</v>
      </c>
      <c r="K136" s="100">
        <f t="shared" ref="K136:K148" ca="1" si="16">SUMIF(F:G,I136,G:G)</f>
        <v>0</v>
      </c>
      <c r="L136" s="101">
        <f t="shared" ref="L136:L148" ca="1" si="17">J136-K136</f>
        <v>5</v>
      </c>
      <c r="M136" s="6"/>
      <c r="O136" s="41"/>
      <c r="P136" s="5"/>
      <c r="Q136" s="2"/>
    </row>
    <row r="137" spans="1:17">
      <c r="A137" s="96">
        <v>43383</v>
      </c>
      <c r="B137" s="100" t="s">
        <v>103</v>
      </c>
      <c r="C137" s="100">
        <v>3</v>
      </c>
      <c r="D137" s="5"/>
      <c r="E137" s="97"/>
      <c r="F137" s="100"/>
      <c r="G137" s="100"/>
      <c r="H137" s="91"/>
      <c r="I137" s="115" t="s">
        <v>119</v>
      </c>
      <c r="J137" s="100">
        <f t="shared" ca="1" si="15"/>
        <v>5</v>
      </c>
      <c r="K137" s="100">
        <f t="shared" ca="1" si="16"/>
        <v>0</v>
      </c>
      <c r="L137" s="101">
        <f t="shared" ca="1" si="17"/>
        <v>5</v>
      </c>
      <c r="M137" s="6"/>
      <c r="O137" s="44"/>
      <c r="P137" s="5"/>
      <c r="Q137" s="2"/>
    </row>
    <row r="138" spans="1:17">
      <c r="A138" s="98"/>
      <c r="B138" s="100" t="s">
        <v>352</v>
      </c>
      <c r="C138" s="100">
        <v>6</v>
      </c>
      <c r="D138" s="5"/>
      <c r="E138" s="98"/>
      <c r="F138" s="102"/>
      <c r="G138" s="100"/>
      <c r="H138" s="6"/>
      <c r="I138" s="115" t="s">
        <v>120</v>
      </c>
      <c r="J138" s="100">
        <f t="shared" ca="1" si="15"/>
        <v>5</v>
      </c>
      <c r="K138" s="100">
        <f t="shared" ca="1" si="16"/>
        <v>0</v>
      </c>
      <c r="L138" s="101">
        <f t="shared" ca="1" si="17"/>
        <v>5</v>
      </c>
      <c r="M138" s="6"/>
      <c r="O138" s="5"/>
      <c r="P138" s="2"/>
      <c r="Q138" s="2"/>
    </row>
    <row r="139" spans="1:17">
      <c r="A139" s="100"/>
      <c r="B139" s="100" t="s">
        <v>111</v>
      </c>
      <c r="C139" s="100">
        <v>5</v>
      </c>
      <c r="D139" s="5"/>
      <c r="E139" s="96"/>
      <c r="F139" s="100"/>
      <c r="G139" s="100"/>
      <c r="H139" s="6"/>
      <c r="I139" s="115" t="s">
        <v>351</v>
      </c>
      <c r="J139" s="100">
        <f t="shared" ca="1" si="15"/>
        <v>5</v>
      </c>
      <c r="K139" s="100">
        <f t="shared" ca="1" si="16"/>
        <v>0</v>
      </c>
      <c r="L139" s="101">
        <f t="shared" ca="1" si="17"/>
        <v>5</v>
      </c>
      <c r="M139" s="6"/>
    </row>
    <row r="140" spans="1:17">
      <c r="A140" s="98"/>
      <c r="B140" s="100" t="s">
        <v>53</v>
      </c>
      <c r="C140" s="100">
        <v>10</v>
      </c>
      <c r="D140" s="5"/>
      <c r="E140" s="96"/>
      <c r="F140" s="100"/>
      <c r="G140" s="100"/>
      <c r="H140" s="6"/>
      <c r="I140" s="116" t="s">
        <v>822</v>
      </c>
      <c r="J140" s="100">
        <f t="shared" ca="1" si="15"/>
        <v>5</v>
      </c>
      <c r="K140" s="100">
        <f t="shared" ca="1" si="16"/>
        <v>0</v>
      </c>
      <c r="L140" s="101">
        <f t="shared" ca="1" si="17"/>
        <v>5</v>
      </c>
      <c r="M140" s="6"/>
    </row>
    <row r="141" spans="1:17">
      <c r="A141" s="100"/>
      <c r="B141" s="102" t="s">
        <v>65</v>
      </c>
      <c r="C141" s="100">
        <v>20</v>
      </c>
      <c r="D141" s="5"/>
      <c r="E141" s="97"/>
      <c r="F141" s="103"/>
      <c r="G141" s="100"/>
      <c r="H141" s="6"/>
      <c r="I141" s="115" t="s">
        <v>143</v>
      </c>
      <c r="J141" s="100">
        <f t="shared" ca="1" si="15"/>
        <v>2</v>
      </c>
      <c r="K141" s="100">
        <f t="shared" ca="1" si="16"/>
        <v>0</v>
      </c>
      <c r="L141" s="101">
        <f t="shared" ca="1" si="17"/>
        <v>2</v>
      </c>
      <c r="M141" s="6"/>
    </row>
    <row r="142" spans="1:17">
      <c r="A142" s="100"/>
      <c r="B142" s="102" t="s">
        <v>119</v>
      </c>
      <c r="C142" s="100">
        <v>5</v>
      </c>
      <c r="D142" s="5"/>
      <c r="E142" s="96"/>
      <c r="F142" s="100"/>
      <c r="G142" s="100"/>
      <c r="H142" s="6"/>
      <c r="I142" s="115" t="s">
        <v>145</v>
      </c>
      <c r="J142" s="100">
        <f t="shared" ca="1" si="15"/>
        <v>2</v>
      </c>
      <c r="K142" s="100">
        <f t="shared" ca="1" si="16"/>
        <v>0</v>
      </c>
      <c r="L142" s="101">
        <f t="shared" ca="1" si="17"/>
        <v>2</v>
      </c>
      <c r="M142" s="6"/>
    </row>
    <row r="143" spans="1:17">
      <c r="A143" s="100"/>
      <c r="B143" s="102" t="s">
        <v>120</v>
      </c>
      <c r="C143" s="100">
        <v>5</v>
      </c>
      <c r="D143" s="5"/>
      <c r="E143" s="96"/>
      <c r="F143" s="104"/>
      <c r="G143" s="100"/>
      <c r="H143" s="6"/>
      <c r="I143" s="115" t="s">
        <v>146</v>
      </c>
      <c r="J143" s="100">
        <f t="shared" ca="1" si="15"/>
        <v>11</v>
      </c>
      <c r="K143" s="100">
        <f t="shared" ca="1" si="16"/>
        <v>0</v>
      </c>
      <c r="L143" s="101">
        <f t="shared" ca="1" si="17"/>
        <v>11</v>
      </c>
      <c r="M143" s="6"/>
    </row>
    <row r="144" spans="1:17">
      <c r="A144" s="100"/>
      <c r="B144" s="102" t="s">
        <v>39</v>
      </c>
      <c r="C144" s="100">
        <v>5</v>
      </c>
      <c r="D144" s="5"/>
      <c r="E144" s="97"/>
      <c r="F144" s="102"/>
      <c r="G144" s="100"/>
      <c r="H144" s="6"/>
      <c r="I144" s="117" t="s">
        <v>160</v>
      </c>
      <c r="J144" s="100">
        <f t="shared" ca="1" si="15"/>
        <v>2</v>
      </c>
      <c r="K144" s="100">
        <f t="shared" ca="1" si="16"/>
        <v>0</v>
      </c>
      <c r="L144" s="101">
        <f t="shared" ca="1" si="17"/>
        <v>2</v>
      </c>
      <c r="M144" s="6"/>
    </row>
    <row r="145" spans="1:13">
      <c r="A145" s="96"/>
      <c r="B145" s="105" t="s">
        <v>351</v>
      </c>
      <c r="C145" s="100">
        <v>5</v>
      </c>
      <c r="D145" s="6"/>
      <c r="E145" s="97"/>
      <c r="F145" s="102"/>
      <c r="G145" s="100"/>
      <c r="H145" s="6"/>
      <c r="I145" s="115" t="s">
        <v>188</v>
      </c>
      <c r="J145" s="100">
        <f t="shared" ca="1" si="15"/>
        <v>4</v>
      </c>
      <c r="K145" s="100">
        <f t="shared" ca="1" si="16"/>
        <v>0</v>
      </c>
      <c r="L145" s="101">
        <f t="shared" ca="1" si="17"/>
        <v>4</v>
      </c>
      <c r="M145" s="6"/>
    </row>
    <row r="146" spans="1:13">
      <c r="A146" s="96"/>
      <c r="B146" s="104" t="s">
        <v>822</v>
      </c>
      <c r="C146" s="100">
        <v>5</v>
      </c>
      <c r="D146" s="6"/>
      <c r="E146" s="98"/>
      <c r="F146" s="100"/>
      <c r="G146" s="100"/>
      <c r="H146" s="6"/>
      <c r="I146" s="115" t="s">
        <v>428</v>
      </c>
      <c r="J146" s="100">
        <f t="shared" ca="1" si="15"/>
        <v>5</v>
      </c>
      <c r="K146" s="100">
        <f t="shared" ca="1" si="16"/>
        <v>0</v>
      </c>
      <c r="L146" s="101">
        <f t="shared" ca="1" si="17"/>
        <v>5</v>
      </c>
      <c r="M146" s="6"/>
    </row>
    <row r="147" spans="1:13">
      <c r="A147" s="96"/>
      <c r="B147" s="102" t="s">
        <v>143</v>
      </c>
      <c r="C147" s="100">
        <v>2</v>
      </c>
      <c r="D147" s="6"/>
      <c r="E147" s="97"/>
      <c r="F147" s="104"/>
      <c r="G147" s="100"/>
      <c r="H147" s="6"/>
      <c r="I147" s="115" t="s">
        <v>698</v>
      </c>
      <c r="J147" s="100">
        <f t="shared" ca="1" si="15"/>
        <v>4</v>
      </c>
      <c r="K147" s="100">
        <f t="shared" ca="1" si="16"/>
        <v>0</v>
      </c>
      <c r="L147" s="101">
        <f t="shared" ca="1" si="17"/>
        <v>4</v>
      </c>
      <c r="M147" s="6"/>
    </row>
    <row r="148" spans="1:13">
      <c r="A148" s="100"/>
      <c r="B148" s="105" t="s">
        <v>145</v>
      </c>
      <c r="C148" s="100">
        <v>2</v>
      </c>
      <c r="D148" s="6"/>
      <c r="E148" s="97"/>
      <c r="F148" s="102"/>
      <c r="G148" s="100"/>
      <c r="I148" s="115" t="s">
        <v>190</v>
      </c>
      <c r="J148" s="100">
        <f t="shared" ca="1" si="15"/>
        <v>5</v>
      </c>
      <c r="K148" s="100">
        <f t="shared" ca="1" si="16"/>
        <v>0</v>
      </c>
      <c r="L148" s="101">
        <f t="shared" ca="1" si="17"/>
        <v>5</v>
      </c>
      <c r="M148" s="6"/>
    </row>
    <row r="149" spans="1:13">
      <c r="A149" s="100"/>
      <c r="B149" s="103" t="s">
        <v>146</v>
      </c>
      <c r="C149" s="100">
        <v>10</v>
      </c>
      <c r="D149" s="6"/>
      <c r="E149" s="97"/>
      <c r="F149" s="103"/>
      <c r="G149" s="100"/>
      <c r="I149" s="72"/>
      <c r="J149" s="103"/>
      <c r="K149" s="100"/>
      <c r="L149" s="101"/>
      <c r="M149" s="6"/>
    </row>
    <row r="150" spans="1:13">
      <c r="A150" s="96"/>
      <c r="B150" s="105" t="s">
        <v>150</v>
      </c>
      <c r="C150" s="100">
        <v>14</v>
      </c>
      <c r="D150" s="6"/>
      <c r="E150" s="98"/>
      <c r="F150" s="106"/>
      <c r="G150" s="100"/>
      <c r="I150" s="72"/>
      <c r="J150" s="103"/>
      <c r="K150" s="100"/>
      <c r="L150" s="101"/>
      <c r="M150" s="6"/>
    </row>
    <row r="151" spans="1:13">
      <c r="A151" s="100"/>
      <c r="B151" s="104" t="s">
        <v>151</v>
      </c>
      <c r="C151" s="100">
        <v>3</v>
      </c>
      <c r="D151" s="6"/>
      <c r="E151" s="97"/>
      <c r="F151" s="102"/>
      <c r="G151" s="100"/>
      <c r="I151" s="72"/>
      <c r="J151" s="103"/>
      <c r="K151" s="100"/>
      <c r="L151" s="101"/>
      <c r="M151" s="6"/>
    </row>
    <row r="152" spans="1:13">
      <c r="A152" s="100"/>
      <c r="B152" s="104" t="s">
        <v>407</v>
      </c>
      <c r="C152" s="100">
        <v>20</v>
      </c>
      <c r="D152" s="6"/>
      <c r="E152" s="98"/>
      <c r="F152" s="100"/>
      <c r="G152" s="100"/>
      <c r="I152" s="72"/>
      <c r="J152" s="103"/>
      <c r="K152" s="100"/>
      <c r="L152" s="101"/>
      <c r="M152" s="6"/>
    </row>
    <row r="153" spans="1:13">
      <c r="A153" s="100"/>
      <c r="B153" s="102" t="s">
        <v>160</v>
      </c>
      <c r="C153" s="100">
        <v>2</v>
      </c>
      <c r="D153" s="5"/>
      <c r="E153" s="97"/>
      <c r="F153" s="102"/>
      <c r="G153" s="100"/>
      <c r="I153" s="72"/>
      <c r="J153" s="103"/>
      <c r="K153" s="100"/>
      <c r="L153" s="101"/>
      <c r="M153" s="6"/>
    </row>
    <row r="154" spans="1:13">
      <c r="A154" s="96"/>
      <c r="B154" s="103" t="s">
        <v>162</v>
      </c>
      <c r="C154" s="100">
        <v>10</v>
      </c>
      <c r="D154" s="5"/>
      <c r="E154" s="97"/>
      <c r="F154" s="102"/>
      <c r="G154" s="100"/>
      <c r="I154" s="72"/>
      <c r="J154" s="103"/>
      <c r="K154" s="100"/>
      <c r="L154" s="101"/>
      <c r="M154" s="6"/>
    </row>
    <row r="155" spans="1:13">
      <c r="A155" s="98"/>
      <c r="B155" s="102" t="s">
        <v>408</v>
      </c>
      <c r="C155" s="100">
        <v>10</v>
      </c>
      <c r="D155" s="5"/>
      <c r="E155" s="96"/>
      <c r="F155" s="104"/>
      <c r="G155" s="100"/>
      <c r="I155" s="72"/>
      <c r="J155" s="103"/>
      <c r="K155" s="100"/>
      <c r="L155" s="101"/>
      <c r="M155" s="6"/>
    </row>
    <row r="156" spans="1:13">
      <c r="A156" s="96"/>
      <c r="B156" s="104" t="s">
        <v>164</v>
      </c>
      <c r="C156" s="100">
        <v>14</v>
      </c>
      <c r="D156" s="5"/>
      <c r="E156" s="97"/>
      <c r="F156" s="102"/>
      <c r="G156" s="100"/>
      <c r="I156" s="72"/>
      <c r="J156" s="103"/>
      <c r="K156" s="100"/>
      <c r="L156" s="101"/>
      <c r="M156" s="6"/>
    </row>
    <row r="157" spans="1:13">
      <c r="A157" s="96"/>
      <c r="B157" s="103" t="s">
        <v>411</v>
      </c>
      <c r="C157" s="100">
        <v>8</v>
      </c>
      <c r="D157" s="5"/>
      <c r="E157" s="97"/>
      <c r="F157" s="100"/>
      <c r="G157" s="100"/>
      <c r="I157" s="72"/>
      <c r="J157" s="103"/>
      <c r="K157" s="100"/>
      <c r="L157" s="101"/>
      <c r="M157" s="6"/>
    </row>
    <row r="158" spans="1:13">
      <c r="A158" s="100"/>
      <c r="B158" s="107" t="s">
        <v>168</v>
      </c>
      <c r="C158" s="100">
        <v>5</v>
      </c>
      <c r="D158" s="5"/>
      <c r="E158" s="97"/>
      <c r="F158" s="100"/>
      <c r="G158" s="100"/>
      <c r="I158" s="72"/>
      <c r="J158" s="103"/>
      <c r="K158" s="100"/>
      <c r="L158" s="101"/>
      <c r="M158" s="6"/>
    </row>
    <row r="159" spans="1:13">
      <c r="A159" s="100"/>
      <c r="B159" s="105" t="s">
        <v>172</v>
      </c>
      <c r="C159" s="100">
        <v>5</v>
      </c>
      <c r="D159" s="5"/>
      <c r="E159" s="97"/>
      <c r="F159" s="100"/>
      <c r="G159" s="100"/>
      <c r="I159" s="72"/>
      <c r="J159" s="103"/>
      <c r="K159" s="100"/>
      <c r="L159" s="101"/>
      <c r="M159" s="6"/>
    </row>
    <row r="160" spans="1:13">
      <c r="A160" s="100"/>
      <c r="B160" s="107" t="s">
        <v>811</v>
      </c>
      <c r="C160" s="100">
        <v>2</v>
      </c>
      <c r="D160" s="5"/>
      <c r="E160" s="97"/>
      <c r="F160" s="103"/>
      <c r="G160" s="100"/>
      <c r="I160" s="72"/>
      <c r="J160" s="103"/>
      <c r="K160" s="100"/>
      <c r="L160" s="101"/>
      <c r="M160" s="6"/>
    </row>
    <row r="161" spans="1:13">
      <c r="A161" s="100"/>
      <c r="B161" s="105" t="s">
        <v>188</v>
      </c>
      <c r="C161" s="100">
        <v>4</v>
      </c>
      <c r="D161" s="5"/>
      <c r="E161" s="97"/>
      <c r="F161" s="107"/>
      <c r="G161" s="100"/>
      <c r="I161" s="72"/>
      <c r="J161" s="103"/>
      <c r="K161" s="100"/>
      <c r="L161" s="101"/>
      <c r="M161" s="6"/>
    </row>
    <row r="162" spans="1:13">
      <c r="A162" s="100"/>
      <c r="B162" s="102" t="s">
        <v>428</v>
      </c>
      <c r="C162" s="100">
        <v>5</v>
      </c>
      <c r="D162" s="5"/>
      <c r="E162" s="97"/>
      <c r="F162" s="100"/>
      <c r="G162" s="100"/>
      <c r="I162" s="72"/>
      <c r="J162" s="103"/>
      <c r="K162" s="100"/>
      <c r="L162" s="101"/>
      <c r="M162" s="6"/>
    </row>
    <row r="163" spans="1:13">
      <c r="A163" s="96"/>
      <c r="B163" s="102" t="s">
        <v>698</v>
      </c>
      <c r="C163" s="100">
        <v>4</v>
      </c>
      <c r="D163" s="5"/>
      <c r="E163" s="96"/>
      <c r="F163" s="100"/>
      <c r="G163" s="100"/>
      <c r="I163" s="72"/>
      <c r="J163" s="103"/>
      <c r="K163" s="100"/>
      <c r="L163" s="101"/>
      <c r="M163" s="6"/>
    </row>
    <row r="164" spans="1:13">
      <c r="A164" s="100"/>
      <c r="B164" s="102" t="s">
        <v>190</v>
      </c>
      <c r="C164" s="100">
        <v>5</v>
      </c>
      <c r="D164" s="5"/>
      <c r="E164" s="96"/>
      <c r="F164" s="102"/>
      <c r="G164" s="100"/>
      <c r="I164" s="72"/>
      <c r="J164" s="103"/>
      <c r="K164" s="100"/>
      <c r="L164" s="101"/>
      <c r="M164" s="6"/>
    </row>
    <row r="165" spans="1:13">
      <c r="A165" s="100"/>
      <c r="B165" s="102" t="s">
        <v>210</v>
      </c>
      <c r="C165" s="100">
        <v>30</v>
      </c>
      <c r="D165" s="5"/>
      <c r="E165" s="97"/>
      <c r="F165" s="102"/>
      <c r="G165" s="100"/>
      <c r="I165" s="72"/>
      <c r="J165" s="103"/>
      <c r="K165" s="100"/>
      <c r="L165" s="101"/>
      <c r="M165" s="6"/>
    </row>
    <row r="166" spans="1:13">
      <c r="A166" s="100"/>
      <c r="B166" s="102" t="s">
        <v>503</v>
      </c>
      <c r="C166" s="100">
        <v>5</v>
      </c>
      <c r="D166" s="5"/>
      <c r="E166" s="97"/>
      <c r="F166" s="102"/>
      <c r="G166" s="100"/>
      <c r="I166" s="72"/>
      <c r="J166" s="103"/>
      <c r="K166" s="100"/>
      <c r="L166" s="101"/>
      <c r="M166" s="6"/>
    </row>
    <row r="167" spans="1:13">
      <c r="A167" s="100"/>
      <c r="B167" s="102" t="s">
        <v>505</v>
      </c>
      <c r="C167" s="100">
        <v>10</v>
      </c>
      <c r="D167" s="5"/>
      <c r="E167" s="97"/>
      <c r="F167" s="102"/>
      <c r="G167" s="100"/>
      <c r="I167" s="72"/>
      <c r="J167" s="103"/>
      <c r="K167" s="100"/>
      <c r="L167" s="101"/>
      <c r="M167" s="6"/>
    </row>
    <row r="168" spans="1:13">
      <c r="A168" s="100"/>
      <c r="B168" s="102" t="s">
        <v>152</v>
      </c>
      <c r="C168" s="100">
        <v>14</v>
      </c>
      <c r="D168" s="5"/>
      <c r="E168" s="97"/>
      <c r="F168" s="105"/>
      <c r="G168" s="100"/>
      <c r="I168" s="72"/>
      <c r="J168" s="103"/>
      <c r="K168" s="100"/>
      <c r="L168" s="101"/>
      <c r="M168" s="6"/>
    </row>
    <row r="169" spans="1:13">
      <c r="A169" s="97"/>
      <c r="B169" s="102"/>
      <c r="C169" s="102"/>
      <c r="D169" s="5"/>
      <c r="E169" s="98"/>
      <c r="F169" s="102"/>
      <c r="G169" s="100"/>
      <c r="I169" s="72"/>
      <c r="J169" s="103"/>
      <c r="K169" s="100"/>
      <c r="L169" s="101"/>
      <c r="M169" s="6"/>
    </row>
    <row r="170" spans="1:13">
      <c r="A170" s="100"/>
      <c r="B170" s="102"/>
      <c r="C170" s="100"/>
      <c r="D170" s="5"/>
      <c r="E170" s="97"/>
      <c r="F170" s="100"/>
      <c r="G170" s="100"/>
      <c r="I170" s="72"/>
      <c r="J170" s="103"/>
      <c r="K170" s="100"/>
      <c r="L170" s="101"/>
      <c r="M170" s="6"/>
    </row>
    <row r="171" spans="1:13">
      <c r="A171" s="100"/>
      <c r="B171" s="102"/>
      <c r="C171" s="100"/>
      <c r="D171" s="5"/>
      <c r="E171" s="96"/>
      <c r="F171" s="102"/>
      <c r="G171" s="100"/>
      <c r="I171" s="72"/>
      <c r="J171" s="103"/>
      <c r="K171" s="100"/>
      <c r="L171" s="101"/>
      <c r="M171" s="6"/>
    </row>
    <row r="172" spans="1:13">
      <c r="A172" s="100"/>
      <c r="B172" s="102"/>
      <c r="C172" s="100"/>
      <c r="D172" s="5"/>
      <c r="E172" s="97"/>
      <c r="F172" s="103"/>
      <c r="G172" s="100"/>
      <c r="I172" s="72"/>
      <c r="J172" s="103"/>
      <c r="K172" s="100"/>
      <c r="L172" s="101"/>
      <c r="M172" s="6"/>
    </row>
    <row r="173" spans="1:13">
      <c r="A173" s="100"/>
      <c r="B173" s="102"/>
      <c r="C173" s="100"/>
      <c r="D173" s="5"/>
      <c r="E173" s="97"/>
      <c r="F173" s="102"/>
      <c r="G173" s="100"/>
      <c r="H173" s="91"/>
      <c r="I173" s="72"/>
      <c r="J173" s="103"/>
      <c r="K173" s="100"/>
      <c r="L173" s="101"/>
      <c r="M173" s="47"/>
    </row>
    <row r="174" spans="1:13">
      <c r="A174" s="97"/>
      <c r="B174" s="103"/>
      <c r="C174" s="102"/>
      <c r="D174" s="5"/>
      <c r="E174" s="97"/>
      <c r="F174" s="106"/>
      <c r="G174" s="100"/>
      <c r="H174" s="91"/>
      <c r="I174" s="72"/>
      <c r="J174" s="103"/>
      <c r="K174" s="100"/>
      <c r="L174" s="101"/>
      <c r="M174" s="6"/>
    </row>
    <row r="175" spans="1:13">
      <c r="A175" s="97"/>
      <c r="B175" s="103"/>
      <c r="C175" s="102"/>
      <c r="D175" s="5"/>
      <c r="E175" s="97"/>
      <c r="F175" s="102"/>
      <c r="G175" s="100"/>
      <c r="H175" s="91"/>
      <c r="I175" s="72"/>
      <c r="J175" s="103"/>
      <c r="K175" s="100"/>
      <c r="L175" s="101"/>
      <c r="M175" s="6"/>
    </row>
    <row r="176" spans="1:13">
      <c r="A176" s="97"/>
      <c r="B176" s="100"/>
      <c r="C176" s="102"/>
      <c r="D176" s="5"/>
      <c r="E176" s="97"/>
      <c r="F176" s="100"/>
      <c r="G176" s="100"/>
      <c r="H176" s="91"/>
      <c r="I176" s="72"/>
      <c r="J176" s="103"/>
      <c r="K176" s="100"/>
      <c r="L176" s="101"/>
      <c r="M176" s="6"/>
    </row>
    <row r="177" spans="1:15">
      <c r="B177" s="13"/>
      <c r="D177" s="5"/>
      <c r="E177" s="97"/>
      <c r="F177" s="100"/>
      <c r="G177" s="100"/>
      <c r="H177" s="91"/>
      <c r="I177" s="72"/>
      <c r="J177" s="103"/>
      <c r="K177" s="100"/>
      <c r="L177" s="101"/>
      <c r="M177" s="6"/>
    </row>
    <row r="178" spans="1:15">
      <c r="B178" s="13"/>
      <c r="D178" s="5"/>
      <c r="E178" s="97"/>
      <c r="F178" s="105"/>
      <c r="G178" s="100"/>
      <c r="H178" s="91"/>
      <c r="I178" s="72"/>
      <c r="J178" s="103"/>
      <c r="K178" s="100"/>
      <c r="L178" s="101"/>
      <c r="M178" s="6"/>
    </row>
    <row r="179" spans="1:15">
      <c r="B179" s="13"/>
      <c r="D179" s="5"/>
      <c r="E179" s="98"/>
      <c r="F179" s="100"/>
      <c r="G179" s="100"/>
      <c r="H179" s="91"/>
      <c r="I179" s="72"/>
      <c r="J179" s="103"/>
      <c r="K179" s="100"/>
      <c r="L179" s="101"/>
      <c r="M179" s="6"/>
    </row>
    <row r="180" spans="1:15">
      <c r="B180" s="13"/>
      <c r="D180" s="5"/>
      <c r="E180" s="96"/>
      <c r="F180" s="100"/>
      <c r="G180" s="100"/>
      <c r="H180" s="91"/>
      <c r="I180" s="72"/>
      <c r="J180" s="103"/>
      <c r="K180" s="100"/>
      <c r="L180" s="101"/>
      <c r="M180" s="6"/>
    </row>
    <row r="181" spans="1:15" s="26" customFormat="1">
      <c r="A181" s="1"/>
      <c r="B181" s="13"/>
      <c r="C181" s="4"/>
      <c r="D181" s="5"/>
      <c r="E181" s="96"/>
      <c r="F181" s="103"/>
      <c r="G181" s="100"/>
      <c r="H181" s="79"/>
      <c r="I181" s="72"/>
      <c r="J181" s="103"/>
      <c r="K181" s="100"/>
      <c r="L181" s="101"/>
      <c r="M181" s="6"/>
      <c r="O181" s="6"/>
    </row>
    <row r="182" spans="1:15">
      <c r="B182" s="13"/>
      <c r="D182" s="5"/>
      <c r="E182" s="97"/>
      <c r="F182" s="100"/>
      <c r="G182" s="100"/>
      <c r="I182" s="72"/>
      <c r="J182" s="103"/>
      <c r="K182" s="100"/>
      <c r="L182" s="101"/>
      <c r="M182" s="6"/>
    </row>
    <row r="183" spans="1:15">
      <c r="B183" s="13"/>
      <c r="D183" s="5"/>
      <c r="E183" s="97"/>
      <c r="F183" s="103"/>
      <c r="G183" s="100"/>
      <c r="I183" s="72"/>
      <c r="J183" s="103"/>
      <c r="K183" s="100"/>
      <c r="L183" s="101"/>
      <c r="M183" s="6"/>
    </row>
    <row r="184" spans="1:15">
      <c r="B184" s="13"/>
      <c r="D184" s="5"/>
      <c r="E184" s="97"/>
      <c r="F184" s="104"/>
      <c r="G184" s="100"/>
      <c r="H184" s="26"/>
      <c r="I184" s="72"/>
      <c r="J184" s="103"/>
      <c r="K184" s="100"/>
      <c r="L184" s="101"/>
      <c r="M184" s="6"/>
    </row>
    <row r="185" spans="1:15">
      <c r="B185" s="13"/>
      <c r="D185" s="5"/>
      <c r="E185" s="97"/>
      <c r="F185" s="100"/>
      <c r="G185" s="100"/>
      <c r="I185" s="72"/>
      <c r="J185" s="103"/>
      <c r="K185" s="100"/>
      <c r="L185" s="101"/>
      <c r="M185" s="6"/>
    </row>
    <row r="186" spans="1:15">
      <c r="A186" s="27"/>
      <c r="B186" s="13"/>
      <c r="D186" s="5"/>
      <c r="E186" s="97"/>
      <c r="F186" s="100"/>
      <c r="G186" s="100"/>
      <c r="I186" s="72"/>
      <c r="J186" s="103"/>
      <c r="K186" s="100"/>
      <c r="L186" s="101"/>
      <c r="M186" s="6"/>
    </row>
    <row r="187" spans="1:15">
      <c r="A187" s="7"/>
      <c r="B187" s="13"/>
      <c r="D187" s="5"/>
      <c r="E187" s="97"/>
      <c r="F187" s="100"/>
      <c r="G187" s="100"/>
      <c r="I187" s="72"/>
      <c r="J187" s="103"/>
      <c r="K187" s="100"/>
      <c r="L187" s="101"/>
      <c r="M187" s="47"/>
    </row>
    <row r="188" spans="1:15">
      <c r="B188" s="13"/>
      <c r="D188" s="5"/>
      <c r="E188" s="97"/>
      <c r="F188" s="102"/>
      <c r="G188" s="100"/>
      <c r="I188" s="72"/>
      <c r="J188" s="103"/>
      <c r="K188" s="100"/>
      <c r="L188" s="101"/>
      <c r="M188" s="6"/>
    </row>
    <row r="189" spans="1:15">
      <c r="B189" s="13"/>
      <c r="D189" s="5"/>
      <c r="E189" s="96"/>
      <c r="F189" s="100"/>
      <c r="G189" s="100"/>
      <c r="I189" s="72"/>
      <c r="J189" s="103"/>
      <c r="K189" s="100"/>
      <c r="L189" s="101"/>
      <c r="M189" s="6"/>
    </row>
    <row r="190" spans="1:15">
      <c r="B190" s="13"/>
      <c r="D190" s="5"/>
      <c r="E190" s="97"/>
      <c r="F190" s="100"/>
      <c r="G190" s="100"/>
      <c r="I190" s="72"/>
      <c r="J190" s="103"/>
      <c r="K190" s="100"/>
      <c r="L190" s="101"/>
      <c r="M190" s="6"/>
    </row>
    <row r="191" spans="1:15">
      <c r="B191" s="13"/>
      <c r="D191" s="5"/>
      <c r="E191" s="97"/>
      <c r="F191" s="102"/>
      <c r="G191" s="100"/>
      <c r="I191" s="72"/>
      <c r="J191" s="103"/>
      <c r="K191" s="100"/>
      <c r="L191" s="101"/>
      <c r="M191" s="6"/>
    </row>
    <row r="192" spans="1:15">
      <c r="B192" s="13"/>
      <c r="D192" s="5"/>
      <c r="E192" s="100"/>
      <c r="F192" s="102"/>
      <c r="G192" s="102"/>
      <c r="I192" s="72"/>
      <c r="J192" s="103"/>
      <c r="K192" s="100"/>
      <c r="L192" s="101"/>
      <c r="M192" s="6"/>
    </row>
    <row r="193" spans="1:15">
      <c r="B193" s="13"/>
      <c r="D193" s="5"/>
      <c r="E193" s="96"/>
      <c r="F193" s="102"/>
      <c r="G193" s="100"/>
      <c r="I193" s="72"/>
      <c r="J193" s="103"/>
      <c r="K193" s="100"/>
      <c r="L193" s="101"/>
      <c r="M193" s="6"/>
    </row>
    <row r="194" spans="1:15">
      <c r="B194" s="13"/>
      <c r="D194" s="5"/>
      <c r="E194" s="97"/>
      <c r="F194" s="100"/>
      <c r="G194" s="100"/>
      <c r="I194" s="72"/>
      <c r="J194" s="103"/>
      <c r="K194" s="100"/>
      <c r="L194" s="101"/>
      <c r="M194" s="6"/>
    </row>
    <row r="195" spans="1:15" s="26" customFormat="1">
      <c r="A195" s="1"/>
      <c r="B195" s="13"/>
      <c r="C195" s="4"/>
      <c r="D195" s="5"/>
      <c r="E195" s="97"/>
      <c r="F195" s="100"/>
      <c r="G195" s="100"/>
      <c r="H195" s="79"/>
      <c r="I195" s="72"/>
      <c r="J195" s="103"/>
      <c r="K195" s="100"/>
      <c r="L195" s="101"/>
      <c r="M195" s="6"/>
      <c r="O195" s="6"/>
    </row>
    <row r="196" spans="1:15">
      <c r="B196" s="13"/>
      <c r="D196" s="5"/>
      <c r="E196" s="97"/>
      <c r="F196" s="102"/>
      <c r="G196" s="100"/>
      <c r="I196" s="72"/>
      <c r="J196" s="103"/>
      <c r="K196" s="100"/>
      <c r="L196" s="101"/>
      <c r="M196" s="6"/>
    </row>
    <row r="197" spans="1:15">
      <c r="B197" s="13"/>
      <c r="D197" s="5"/>
      <c r="E197" s="97"/>
      <c r="F197" s="100"/>
      <c r="G197" s="100"/>
      <c r="I197" s="72"/>
      <c r="J197" s="103"/>
      <c r="K197" s="100"/>
      <c r="L197" s="101"/>
      <c r="M197" s="6"/>
    </row>
    <row r="198" spans="1:15">
      <c r="B198" s="13"/>
      <c r="D198" s="5"/>
      <c r="E198" s="96"/>
      <c r="F198" s="104"/>
      <c r="G198" s="100"/>
      <c r="H198" s="26"/>
      <c r="I198" s="72"/>
      <c r="J198" s="103"/>
      <c r="K198" s="100"/>
      <c r="L198" s="101"/>
      <c r="M198" s="6"/>
    </row>
    <row r="199" spans="1:15">
      <c r="B199" s="13"/>
      <c r="D199" s="5"/>
      <c r="E199" s="97"/>
      <c r="F199" s="102"/>
      <c r="G199" s="100"/>
      <c r="I199" s="72"/>
      <c r="J199" s="103"/>
      <c r="K199" s="100"/>
      <c r="L199" s="101"/>
      <c r="M199" s="6"/>
    </row>
    <row r="200" spans="1:15">
      <c r="A200" s="27"/>
      <c r="B200" s="13"/>
      <c r="D200" s="5"/>
      <c r="E200" s="97"/>
      <c r="F200" s="102"/>
      <c r="G200" s="100"/>
      <c r="I200" s="72"/>
      <c r="J200" s="103"/>
      <c r="K200" s="100"/>
      <c r="L200" s="101"/>
      <c r="M200" s="6"/>
    </row>
    <row r="201" spans="1:15">
      <c r="B201" s="13"/>
      <c r="D201" s="5"/>
      <c r="E201" s="96"/>
      <c r="F201" s="102"/>
      <c r="G201" s="100"/>
      <c r="I201" s="72"/>
      <c r="J201" s="103"/>
      <c r="K201" s="100"/>
      <c r="L201" s="101"/>
      <c r="M201" s="6"/>
    </row>
    <row r="202" spans="1:15">
      <c r="A202" s="7"/>
      <c r="B202" s="13"/>
      <c r="D202" s="5"/>
      <c r="E202" s="97"/>
      <c r="F202" s="106"/>
      <c r="G202" s="100"/>
      <c r="I202" s="72"/>
      <c r="J202" s="103"/>
      <c r="K202" s="100"/>
      <c r="L202" s="101"/>
      <c r="M202" s="6"/>
    </row>
    <row r="203" spans="1:15">
      <c r="B203" s="13"/>
      <c r="D203" s="5"/>
      <c r="E203" s="97"/>
      <c r="F203" s="103"/>
      <c r="G203" s="100"/>
      <c r="I203" s="72"/>
      <c r="J203" s="103"/>
      <c r="K203" s="100"/>
      <c r="L203" s="101"/>
      <c r="M203" s="6"/>
    </row>
    <row r="204" spans="1:15">
      <c r="B204" s="13"/>
      <c r="D204" s="5"/>
      <c r="E204" s="97"/>
      <c r="F204" s="103"/>
      <c r="G204" s="100"/>
      <c r="I204" s="72"/>
      <c r="J204" s="103"/>
      <c r="K204" s="100"/>
      <c r="L204" s="101"/>
      <c r="M204" s="6"/>
    </row>
    <row r="205" spans="1:15">
      <c r="B205" s="13"/>
      <c r="D205" s="5"/>
      <c r="E205" s="97"/>
      <c r="F205" s="102"/>
      <c r="G205" s="100"/>
      <c r="I205" s="72"/>
      <c r="J205" s="103"/>
      <c r="K205" s="100"/>
      <c r="L205" s="101"/>
      <c r="M205" s="6"/>
    </row>
    <row r="206" spans="1:15">
      <c r="B206" s="13"/>
      <c r="D206" s="5"/>
      <c r="E206" s="97"/>
      <c r="F206" s="100"/>
      <c r="G206" s="100"/>
      <c r="I206" s="72"/>
      <c r="J206" s="103"/>
      <c r="K206" s="100"/>
      <c r="L206" s="101"/>
      <c r="M206" s="6"/>
    </row>
    <row r="207" spans="1:15">
      <c r="B207" s="13"/>
      <c r="D207" s="5"/>
      <c r="E207" s="97"/>
      <c r="F207" s="102"/>
      <c r="G207" s="100"/>
      <c r="I207" s="72"/>
      <c r="J207" s="103"/>
      <c r="K207" s="100"/>
      <c r="L207" s="101"/>
      <c r="M207" s="6"/>
    </row>
    <row r="208" spans="1:15">
      <c r="B208" s="13"/>
      <c r="D208" s="5"/>
      <c r="E208" s="97"/>
      <c r="F208" s="103"/>
      <c r="G208" s="100"/>
      <c r="H208" s="6"/>
      <c r="I208" s="72"/>
      <c r="J208" s="103"/>
      <c r="K208" s="100"/>
      <c r="L208" s="101"/>
      <c r="M208" s="6"/>
    </row>
    <row r="209" spans="1:15">
      <c r="B209" s="13"/>
      <c r="D209" s="5"/>
      <c r="E209" s="96"/>
      <c r="F209" s="105"/>
      <c r="G209" s="100"/>
      <c r="H209" s="6"/>
      <c r="I209" s="72"/>
      <c r="J209" s="103"/>
      <c r="K209" s="100"/>
      <c r="L209" s="101"/>
      <c r="M209" s="6"/>
    </row>
    <row r="210" spans="1:15">
      <c r="B210" s="13"/>
      <c r="D210" s="5"/>
      <c r="E210" s="96"/>
      <c r="F210" s="102"/>
      <c r="G210" s="100"/>
      <c r="H210" s="6"/>
      <c r="I210" s="72"/>
      <c r="J210" s="103"/>
      <c r="K210" s="100"/>
      <c r="L210" s="101"/>
      <c r="M210" s="6"/>
    </row>
    <row r="211" spans="1:15">
      <c r="B211" s="13"/>
      <c r="D211" s="5"/>
      <c r="E211" s="97"/>
      <c r="F211" s="102"/>
      <c r="G211" s="100"/>
      <c r="H211" s="6"/>
      <c r="I211" s="72"/>
      <c r="J211" s="103"/>
      <c r="K211" s="100"/>
      <c r="L211" s="101"/>
      <c r="M211" s="6"/>
    </row>
    <row r="212" spans="1:15">
      <c r="B212" s="13"/>
      <c r="D212" s="5"/>
      <c r="E212" s="96"/>
      <c r="F212" s="106"/>
      <c r="G212" s="100"/>
      <c r="H212" s="6"/>
      <c r="I212" s="72"/>
      <c r="J212" s="103"/>
      <c r="K212" s="100"/>
      <c r="L212" s="101"/>
      <c r="M212" s="6"/>
    </row>
    <row r="213" spans="1:15">
      <c r="B213" s="13"/>
      <c r="D213" s="5"/>
      <c r="E213" s="97"/>
      <c r="F213" s="102"/>
      <c r="G213" s="100"/>
      <c r="H213" s="6"/>
      <c r="I213" s="72"/>
      <c r="J213" s="103"/>
      <c r="K213" s="100"/>
      <c r="L213" s="101"/>
      <c r="M213" s="6"/>
    </row>
    <row r="214" spans="1:15">
      <c r="B214" s="13"/>
      <c r="D214" s="5"/>
      <c r="E214" s="97"/>
      <c r="F214" s="104"/>
      <c r="G214" s="100"/>
      <c r="H214" s="6"/>
      <c r="I214" s="72"/>
      <c r="J214" s="103"/>
      <c r="K214" s="100"/>
      <c r="L214" s="101"/>
      <c r="M214" s="47"/>
    </row>
    <row r="215" spans="1:15">
      <c r="B215" s="13"/>
      <c r="D215" s="5"/>
      <c r="E215" s="97"/>
      <c r="F215" s="102"/>
      <c r="G215" s="100"/>
      <c r="I215" s="72"/>
      <c r="J215" s="103"/>
      <c r="K215" s="100"/>
      <c r="L215" s="101"/>
      <c r="M215" s="6"/>
    </row>
    <row r="216" spans="1:15">
      <c r="B216" s="13"/>
      <c r="D216" s="5"/>
      <c r="E216" s="96"/>
      <c r="F216" s="100"/>
      <c r="G216" s="100"/>
      <c r="I216" s="72"/>
      <c r="J216" s="103"/>
      <c r="K216" s="100"/>
      <c r="L216" s="101"/>
      <c r="M216" s="47"/>
    </row>
    <row r="217" spans="1:15">
      <c r="B217" s="13"/>
      <c r="D217" s="5"/>
      <c r="E217" s="97"/>
      <c r="F217" s="102"/>
      <c r="G217" s="100"/>
      <c r="I217" s="72"/>
      <c r="J217" s="103"/>
      <c r="K217" s="100"/>
      <c r="L217" s="101"/>
      <c r="M217" s="6"/>
    </row>
    <row r="218" spans="1:15">
      <c r="B218" s="13"/>
      <c r="D218" s="5"/>
      <c r="E218" s="97"/>
      <c r="F218" s="100"/>
      <c r="G218" s="100"/>
      <c r="I218" s="72"/>
      <c r="J218" s="103"/>
      <c r="K218" s="100"/>
      <c r="L218" s="101"/>
      <c r="M218" s="47"/>
    </row>
    <row r="219" spans="1:15">
      <c r="A219" s="7"/>
      <c r="B219" s="13"/>
      <c r="D219" s="5"/>
      <c r="E219" s="97"/>
      <c r="F219" s="103"/>
      <c r="G219" s="100"/>
      <c r="I219" s="72"/>
      <c r="J219" s="103"/>
      <c r="K219" s="100"/>
      <c r="L219" s="101"/>
      <c r="M219" s="6"/>
    </row>
    <row r="220" spans="1:15">
      <c r="B220" s="13"/>
      <c r="D220" s="5"/>
      <c r="E220" s="97"/>
      <c r="F220" s="102"/>
      <c r="G220" s="100"/>
      <c r="I220" s="72"/>
      <c r="J220" s="103"/>
      <c r="K220" s="100"/>
      <c r="L220" s="101"/>
      <c r="M220" s="6"/>
    </row>
    <row r="221" spans="1:15">
      <c r="A221" s="7"/>
      <c r="B221" s="13"/>
      <c r="D221" s="5"/>
      <c r="E221" s="97"/>
      <c r="F221" s="102"/>
      <c r="G221" s="100"/>
      <c r="I221" s="72"/>
      <c r="J221" s="103"/>
      <c r="K221" s="100"/>
      <c r="L221" s="101"/>
      <c r="M221" s="6"/>
    </row>
    <row r="222" spans="1:15" s="26" customFormat="1">
      <c r="A222" s="1"/>
      <c r="B222" s="13"/>
      <c r="C222" s="4"/>
      <c r="D222" s="5"/>
      <c r="E222" s="97"/>
      <c r="F222" s="100"/>
      <c r="G222" s="100"/>
      <c r="H222" s="79"/>
      <c r="I222" s="72"/>
      <c r="J222" s="103"/>
      <c r="K222" s="100"/>
      <c r="L222" s="101"/>
      <c r="M222" s="6"/>
      <c r="O222" s="6"/>
    </row>
    <row r="223" spans="1:15">
      <c r="B223" s="13"/>
      <c r="D223" s="5"/>
      <c r="E223" s="97"/>
      <c r="F223" s="103"/>
      <c r="G223" s="100"/>
      <c r="I223" s="72"/>
      <c r="J223" s="103"/>
      <c r="K223" s="100"/>
      <c r="L223" s="101"/>
      <c r="M223" s="6"/>
    </row>
    <row r="224" spans="1:15" s="26" customFormat="1">
      <c r="A224" s="1"/>
      <c r="B224" s="13"/>
      <c r="C224" s="4"/>
      <c r="D224" s="5"/>
      <c r="E224" s="97"/>
      <c r="F224" s="104"/>
      <c r="G224" s="100"/>
      <c r="H224" s="79"/>
      <c r="I224" s="72"/>
      <c r="J224" s="103"/>
      <c r="K224" s="100"/>
      <c r="L224" s="101"/>
      <c r="M224" s="6"/>
      <c r="O224" s="6"/>
    </row>
    <row r="225" spans="1:15">
      <c r="B225" s="13"/>
      <c r="D225" s="5"/>
      <c r="E225" s="96"/>
      <c r="F225" s="102"/>
      <c r="G225" s="100"/>
      <c r="I225" s="72"/>
      <c r="J225" s="103"/>
      <c r="K225" s="100"/>
      <c r="L225" s="101"/>
      <c r="M225" s="6"/>
    </row>
    <row r="226" spans="1:15" s="26" customFormat="1">
      <c r="A226" s="1"/>
      <c r="B226" s="13"/>
      <c r="C226" s="4"/>
      <c r="D226" s="5"/>
      <c r="E226" s="97"/>
      <c r="F226" s="102"/>
      <c r="G226" s="100"/>
      <c r="H226" s="79"/>
      <c r="I226" s="72"/>
      <c r="J226" s="103"/>
      <c r="K226" s="100"/>
      <c r="L226" s="101"/>
      <c r="M226" s="6"/>
      <c r="O226" s="6"/>
    </row>
    <row r="227" spans="1:15">
      <c r="B227" s="13"/>
      <c r="D227" s="5"/>
      <c r="E227" s="100"/>
      <c r="F227" s="102"/>
      <c r="G227" s="100"/>
      <c r="I227" s="72"/>
      <c r="J227" s="103"/>
      <c r="K227" s="100"/>
      <c r="L227" s="101"/>
      <c r="M227" s="6"/>
    </row>
    <row r="228" spans="1:15">
      <c r="B228" s="13"/>
      <c r="D228" s="5"/>
      <c r="E228" s="100"/>
      <c r="F228" s="102"/>
      <c r="G228" s="100"/>
      <c r="I228" s="72"/>
      <c r="J228" s="103"/>
      <c r="K228" s="100"/>
      <c r="L228" s="101"/>
      <c r="M228" s="6"/>
    </row>
    <row r="229" spans="1:15">
      <c r="B229" s="13"/>
      <c r="D229" s="5"/>
      <c r="E229" s="96"/>
      <c r="F229" s="100"/>
      <c r="G229" s="100"/>
      <c r="I229" s="72"/>
      <c r="J229" s="103"/>
      <c r="K229" s="100"/>
      <c r="L229" s="101"/>
      <c r="M229" s="6"/>
    </row>
    <row r="230" spans="1:15">
      <c r="B230" s="13"/>
      <c r="D230" s="5"/>
      <c r="E230" s="100"/>
      <c r="F230" s="102"/>
      <c r="G230" s="100"/>
      <c r="I230" s="72"/>
      <c r="J230" s="103"/>
      <c r="K230" s="100"/>
      <c r="L230" s="101"/>
      <c r="M230" s="6"/>
    </row>
    <row r="231" spans="1:15">
      <c r="B231" s="13"/>
      <c r="D231" s="5"/>
      <c r="E231" s="97"/>
      <c r="F231" s="102"/>
      <c r="G231" s="100"/>
      <c r="I231" s="72"/>
      <c r="J231" s="103"/>
      <c r="K231" s="100"/>
      <c r="L231" s="101"/>
      <c r="M231" s="6"/>
    </row>
    <row r="232" spans="1:15">
      <c r="B232" s="13"/>
      <c r="D232" s="5"/>
      <c r="E232" s="97"/>
      <c r="F232" s="103"/>
      <c r="G232" s="100"/>
      <c r="I232" s="72"/>
      <c r="J232" s="103"/>
      <c r="K232" s="100"/>
      <c r="L232" s="101"/>
      <c r="M232" s="6"/>
    </row>
    <row r="233" spans="1:15">
      <c r="B233" s="72"/>
      <c r="D233" s="5"/>
      <c r="E233" s="97"/>
      <c r="F233" s="102"/>
      <c r="G233" s="100"/>
      <c r="I233" s="72"/>
      <c r="J233" s="103"/>
      <c r="K233" s="100"/>
      <c r="L233" s="101"/>
      <c r="M233" s="6"/>
    </row>
    <row r="234" spans="1:15">
      <c r="B234" s="72"/>
      <c r="D234" s="5"/>
      <c r="E234" s="97"/>
      <c r="F234" s="102"/>
      <c r="G234" s="100"/>
      <c r="I234" s="72"/>
      <c r="J234" s="103"/>
      <c r="K234" s="100"/>
      <c r="L234" s="101"/>
      <c r="M234" s="6"/>
    </row>
    <row r="235" spans="1:15">
      <c r="B235" s="72"/>
      <c r="D235" s="5"/>
      <c r="E235" s="97"/>
      <c r="F235" s="102"/>
      <c r="G235" s="100"/>
      <c r="I235" s="72"/>
      <c r="J235" s="103"/>
      <c r="K235" s="100"/>
      <c r="L235" s="101"/>
      <c r="M235" s="6"/>
    </row>
    <row r="236" spans="1:15">
      <c r="B236" s="72"/>
      <c r="D236" s="5"/>
      <c r="E236" s="97"/>
      <c r="F236" s="103"/>
      <c r="G236" s="100"/>
      <c r="I236" s="72"/>
      <c r="J236" s="103"/>
      <c r="K236" s="100"/>
      <c r="L236" s="101"/>
      <c r="M236" s="6"/>
    </row>
    <row r="237" spans="1:15">
      <c r="B237" s="72"/>
      <c r="D237" s="5"/>
      <c r="E237" s="97"/>
      <c r="F237" s="105"/>
      <c r="G237" s="100"/>
      <c r="I237" s="72"/>
      <c r="J237" s="103"/>
      <c r="K237" s="100"/>
      <c r="L237" s="101"/>
      <c r="M237" s="6"/>
    </row>
    <row r="238" spans="1:15">
      <c r="B238" s="72"/>
      <c r="D238" s="5"/>
      <c r="E238" s="97"/>
      <c r="F238" s="104"/>
      <c r="G238" s="100"/>
      <c r="I238" s="72"/>
      <c r="J238" s="103"/>
      <c r="K238" s="100"/>
      <c r="L238" s="101"/>
      <c r="M238" s="6"/>
    </row>
    <row r="239" spans="1:15">
      <c r="B239" s="72"/>
      <c r="D239" s="5"/>
      <c r="E239" s="97"/>
      <c r="F239" s="103"/>
      <c r="G239" s="100"/>
      <c r="I239" s="72"/>
      <c r="J239" s="103"/>
      <c r="K239" s="100"/>
      <c r="L239" s="101"/>
      <c r="M239" s="6"/>
    </row>
    <row r="240" spans="1:15">
      <c r="B240" s="72"/>
      <c r="D240" s="5"/>
      <c r="E240" s="97"/>
      <c r="F240" s="103"/>
      <c r="G240" s="100"/>
      <c r="I240" s="72"/>
      <c r="J240" s="103"/>
      <c r="K240" s="100"/>
      <c r="L240" s="101"/>
      <c r="M240" s="6"/>
    </row>
    <row r="241" spans="2:13">
      <c r="B241" s="72"/>
      <c r="D241" s="5"/>
      <c r="E241" s="96"/>
      <c r="F241" s="100"/>
      <c r="G241" s="100"/>
      <c r="I241" s="72"/>
      <c r="J241" s="103"/>
      <c r="K241" s="100"/>
      <c r="L241" s="101"/>
      <c r="M241" s="6"/>
    </row>
    <row r="242" spans="2:13">
      <c r="B242" s="72"/>
      <c r="D242" s="5"/>
      <c r="E242" s="96"/>
      <c r="F242" s="104"/>
      <c r="G242" s="100"/>
      <c r="I242" s="72"/>
      <c r="J242" s="103"/>
      <c r="K242" s="100"/>
      <c r="L242" s="101"/>
      <c r="M242" s="6"/>
    </row>
    <row r="243" spans="2:13">
      <c r="B243" s="72"/>
      <c r="D243" s="5"/>
      <c r="E243" s="97"/>
      <c r="F243" s="107"/>
      <c r="G243" s="100"/>
      <c r="H243" s="6"/>
      <c r="I243" s="72"/>
      <c r="J243" s="103"/>
      <c r="K243" s="100"/>
      <c r="L243" s="101"/>
      <c r="M243" s="6"/>
    </row>
    <row r="244" spans="2:13">
      <c r="B244" s="72"/>
      <c r="D244" s="5"/>
      <c r="E244" s="97"/>
      <c r="F244" s="107"/>
      <c r="G244" s="100"/>
      <c r="H244" s="6"/>
      <c r="I244" s="72"/>
      <c r="J244" s="103"/>
      <c r="K244" s="100"/>
      <c r="L244" s="101"/>
      <c r="M244" s="6"/>
    </row>
    <row r="245" spans="2:13">
      <c r="B245" s="13"/>
      <c r="D245" s="5"/>
      <c r="E245" s="97"/>
      <c r="F245" s="104"/>
      <c r="G245" s="100"/>
      <c r="H245" s="6"/>
      <c r="I245" s="72"/>
      <c r="J245" s="103"/>
      <c r="K245" s="100"/>
      <c r="L245" s="101"/>
      <c r="M245" s="6"/>
    </row>
    <row r="246" spans="2:13">
      <c r="B246" s="13"/>
      <c r="D246" s="5"/>
      <c r="E246" s="97"/>
      <c r="F246" s="103"/>
      <c r="G246" s="100"/>
      <c r="H246" s="6"/>
      <c r="I246" s="72"/>
      <c r="J246" s="103"/>
      <c r="K246" s="100"/>
      <c r="L246" s="101"/>
      <c r="M246" s="6"/>
    </row>
    <row r="247" spans="2:13">
      <c r="B247" s="13"/>
      <c r="D247" s="5"/>
      <c r="E247" s="97"/>
      <c r="F247" s="100"/>
      <c r="G247" s="100"/>
      <c r="H247" s="6"/>
      <c r="I247" s="72"/>
      <c r="J247" s="103"/>
      <c r="K247" s="100"/>
      <c r="L247" s="101"/>
      <c r="M247" s="6"/>
    </row>
    <row r="248" spans="2:13">
      <c r="B248" s="13"/>
      <c r="D248" s="5"/>
      <c r="E248" s="97"/>
      <c r="F248" s="102"/>
      <c r="G248" s="100"/>
      <c r="H248" s="6"/>
      <c r="I248" s="72"/>
      <c r="J248" s="103"/>
      <c r="K248" s="100"/>
      <c r="L248" s="101"/>
      <c r="M248" s="6"/>
    </row>
    <row r="249" spans="2:13">
      <c r="B249" s="13"/>
      <c r="D249" s="5"/>
      <c r="E249" s="97"/>
      <c r="F249" s="107"/>
      <c r="G249" s="100"/>
      <c r="H249" s="6"/>
      <c r="I249" s="72"/>
      <c r="J249" s="103"/>
      <c r="K249" s="100"/>
      <c r="L249" s="101"/>
      <c r="M249" s="6"/>
    </row>
    <row r="250" spans="2:13">
      <c r="B250" s="13"/>
      <c r="D250" s="5"/>
      <c r="E250" s="97"/>
      <c r="F250" s="103"/>
      <c r="G250" s="100"/>
      <c r="H250" s="6"/>
      <c r="I250" s="72"/>
      <c r="J250" s="103"/>
      <c r="K250" s="100"/>
      <c r="L250" s="101"/>
      <c r="M250" s="6"/>
    </row>
    <row r="251" spans="2:13">
      <c r="B251" s="13"/>
      <c r="D251" s="5"/>
      <c r="E251" s="97"/>
      <c r="F251" s="103"/>
      <c r="G251" s="102"/>
      <c r="H251" s="6"/>
      <c r="I251" s="72"/>
      <c r="J251" s="103"/>
      <c r="K251" s="100"/>
      <c r="L251" s="101"/>
      <c r="M251" s="6"/>
    </row>
    <row r="252" spans="2:13">
      <c r="B252" s="13"/>
      <c r="D252" s="5"/>
      <c r="E252" s="96"/>
      <c r="F252" s="104"/>
      <c r="G252" s="102"/>
      <c r="H252" s="6"/>
      <c r="I252" s="72"/>
      <c r="J252" s="103"/>
      <c r="K252" s="100"/>
      <c r="L252" s="101"/>
      <c r="M252" s="6"/>
    </row>
    <row r="253" spans="2:13">
      <c r="B253" s="13"/>
      <c r="D253" s="5"/>
      <c r="E253" s="97"/>
      <c r="F253" s="104"/>
      <c r="G253" s="110"/>
      <c r="H253" s="6"/>
      <c r="I253" s="72"/>
      <c r="J253" s="103"/>
      <c r="K253" s="100"/>
      <c r="L253" s="101"/>
      <c r="M253" s="6"/>
    </row>
    <row r="254" spans="2:13">
      <c r="B254" s="13"/>
      <c r="D254" s="5"/>
      <c r="E254" s="97"/>
      <c r="F254" s="105"/>
      <c r="G254" s="102"/>
      <c r="H254" s="6"/>
      <c r="I254" s="72"/>
      <c r="J254" s="103"/>
      <c r="K254" s="100"/>
      <c r="L254" s="101"/>
      <c r="M254" s="6"/>
    </row>
    <row r="255" spans="2:13">
      <c r="B255" s="13"/>
      <c r="D255" s="5"/>
      <c r="E255" s="97"/>
      <c r="F255" s="105"/>
      <c r="G255" s="102"/>
      <c r="H255" s="6"/>
      <c r="I255" s="72"/>
      <c r="J255" s="103"/>
      <c r="K255" s="100"/>
      <c r="L255" s="101"/>
      <c r="M255" s="6"/>
    </row>
    <row r="256" spans="2:13">
      <c r="B256" s="13"/>
      <c r="D256" s="5"/>
      <c r="E256" s="97"/>
      <c r="F256" s="102"/>
      <c r="G256" s="102"/>
      <c r="H256" s="6"/>
      <c r="I256" s="72"/>
      <c r="J256" s="103"/>
      <c r="K256" s="100"/>
      <c r="L256" s="101"/>
      <c r="M256" s="6"/>
    </row>
    <row r="257" spans="1:13">
      <c r="B257" s="13"/>
      <c r="D257" s="5"/>
      <c r="E257" s="96"/>
      <c r="F257" s="102"/>
      <c r="G257" s="100"/>
      <c r="H257" s="6"/>
      <c r="I257" s="72"/>
      <c r="J257" s="103"/>
      <c r="K257" s="100"/>
      <c r="L257" s="101"/>
      <c r="M257" s="6"/>
    </row>
    <row r="258" spans="1:13">
      <c r="B258" s="13"/>
      <c r="D258" s="5"/>
      <c r="E258" s="97"/>
      <c r="F258" s="102"/>
      <c r="G258" s="100"/>
      <c r="H258" s="6"/>
      <c r="I258" s="72"/>
      <c r="J258" s="103"/>
      <c r="K258" s="100"/>
      <c r="L258" s="101"/>
      <c r="M258" s="6"/>
    </row>
    <row r="259" spans="1:13">
      <c r="B259" s="13"/>
      <c r="D259" s="5"/>
      <c r="E259" s="97"/>
      <c r="F259" s="104"/>
      <c r="G259" s="100"/>
      <c r="I259" s="72"/>
      <c r="J259" s="103"/>
      <c r="K259" s="100"/>
      <c r="L259" s="101"/>
      <c r="M259" s="6"/>
    </row>
    <row r="260" spans="1:13">
      <c r="B260" s="13"/>
      <c r="D260" s="5"/>
      <c r="E260" s="97"/>
      <c r="F260" s="100"/>
      <c r="G260" s="100"/>
      <c r="I260" s="72"/>
      <c r="J260" s="103"/>
      <c r="K260" s="100"/>
      <c r="L260" s="101"/>
      <c r="M260" s="6"/>
    </row>
    <row r="261" spans="1:13">
      <c r="B261" s="13"/>
      <c r="D261" s="5"/>
      <c r="E261" s="97"/>
      <c r="F261" s="100"/>
      <c r="G261" s="100"/>
      <c r="I261" s="72"/>
      <c r="J261" s="103"/>
      <c r="K261" s="100"/>
      <c r="L261" s="101"/>
      <c r="M261" s="6"/>
    </row>
    <row r="262" spans="1:13">
      <c r="B262" s="13"/>
      <c r="D262" s="5"/>
      <c r="E262" s="97"/>
      <c r="F262" s="107"/>
      <c r="G262" s="100"/>
      <c r="I262" s="72"/>
      <c r="J262" s="103"/>
      <c r="K262" s="100"/>
      <c r="L262" s="101"/>
      <c r="M262" s="6"/>
    </row>
    <row r="263" spans="1:13">
      <c r="B263" s="13"/>
      <c r="D263" s="5"/>
      <c r="E263" s="97"/>
      <c r="F263" s="102"/>
      <c r="G263" s="100"/>
      <c r="I263" s="72"/>
      <c r="J263" s="103"/>
      <c r="K263" s="100"/>
      <c r="L263" s="101"/>
      <c r="M263" s="6"/>
    </row>
    <row r="264" spans="1:13">
      <c r="A264" s="7"/>
      <c r="B264" s="72"/>
      <c r="D264" s="5"/>
      <c r="E264" s="97"/>
      <c r="F264" s="104"/>
      <c r="G264" s="100"/>
      <c r="I264" s="72"/>
      <c r="J264" s="103"/>
      <c r="K264" s="100"/>
      <c r="L264" s="101"/>
      <c r="M264" s="6"/>
    </row>
    <row r="265" spans="1:13">
      <c r="B265" s="72"/>
      <c r="D265" s="5"/>
      <c r="E265" s="97"/>
      <c r="F265" s="103"/>
      <c r="G265" s="100"/>
      <c r="I265" s="72"/>
      <c r="J265" s="103"/>
      <c r="K265" s="100"/>
      <c r="L265" s="101"/>
      <c r="M265" s="6"/>
    </row>
    <row r="266" spans="1:13">
      <c r="B266" s="72"/>
      <c r="D266" s="5"/>
      <c r="E266" s="96"/>
      <c r="F266" s="105"/>
      <c r="G266" s="100"/>
      <c r="I266" s="72"/>
      <c r="J266" s="103"/>
      <c r="K266" s="100"/>
      <c r="L266" s="101"/>
      <c r="M266" s="6"/>
    </row>
    <row r="267" spans="1:13">
      <c r="B267" s="72"/>
      <c r="D267" s="5"/>
      <c r="E267" s="97"/>
      <c r="F267" s="102"/>
      <c r="G267" s="100"/>
      <c r="I267" s="72"/>
      <c r="J267" s="103"/>
      <c r="K267" s="100"/>
      <c r="L267" s="101"/>
      <c r="M267" s="6"/>
    </row>
    <row r="268" spans="1:13">
      <c r="B268" s="72"/>
      <c r="D268" s="5"/>
      <c r="E268" s="96"/>
      <c r="F268" s="102"/>
      <c r="G268" s="100"/>
      <c r="I268" s="72"/>
      <c r="J268" s="103"/>
      <c r="K268" s="100"/>
      <c r="L268" s="101"/>
      <c r="M268" s="6"/>
    </row>
    <row r="269" spans="1:13">
      <c r="B269" s="72"/>
      <c r="D269" s="5"/>
      <c r="E269" s="97"/>
      <c r="F269" s="104"/>
      <c r="G269" s="100"/>
      <c r="I269" s="72"/>
      <c r="J269" s="103"/>
      <c r="K269" s="100"/>
      <c r="L269" s="101"/>
      <c r="M269" s="6"/>
    </row>
    <row r="270" spans="1:13">
      <c r="B270" s="72"/>
      <c r="D270" s="5"/>
      <c r="E270" s="97"/>
      <c r="F270" s="105"/>
      <c r="G270" s="100"/>
      <c r="I270" s="72"/>
      <c r="J270" s="103"/>
      <c r="K270" s="100"/>
      <c r="L270" s="101"/>
      <c r="M270" s="6"/>
    </row>
    <row r="271" spans="1:13">
      <c r="B271" s="72"/>
      <c r="D271" s="5"/>
      <c r="E271" s="97"/>
      <c r="F271" s="102"/>
      <c r="G271" s="100"/>
      <c r="I271" s="72"/>
      <c r="J271" s="103"/>
      <c r="K271" s="100"/>
      <c r="L271" s="101"/>
      <c r="M271" s="6"/>
    </row>
    <row r="272" spans="1:13">
      <c r="B272" s="72"/>
      <c r="D272" s="5"/>
      <c r="E272" s="97"/>
      <c r="F272" s="102"/>
      <c r="G272" s="100"/>
      <c r="I272" s="72"/>
      <c r="J272" s="103"/>
      <c r="K272" s="100"/>
      <c r="L272" s="101"/>
      <c r="M272" s="6"/>
    </row>
    <row r="273" spans="1:13">
      <c r="B273" s="72"/>
      <c r="D273" s="5"/>
      <c r="E273" s="97"/>
      <c r="F273" s="107"/>
      <c r="G273" s="100"/>
      <c r="I273" s="72"/>
      <c r="J273" s="103"/>
      <c r="K273" s="100"/>
      <c r="L273" s="101"/>
      <c r="M273" s="6"/>
    </row>
    <row r="274" spans="1:13">
      <c r="A274" s="4"/>
      <c r="B274" s="72"/>
      <c r="D274" s="5"/>
      <c r="E274" s="97"/>
      <c r="F274" s="102"/>
      <c r="G274" s="100"/>
      <c r="I274" s="72"/>
      <c r="J274" s="103"/>
      <c r="K274" s="100"/>
      <c r="L274" s="101"/>
      <c r="M274" s="6"/>
    </row>
    <row r="275" spans="1:13">
      <c r="B275" s="72"/>
      <c r="D275" s="5"/>
      <c r="E275" s="97"/>
      <c r="F275" s="100"/>
      <c r="G275" s="100"/>
      <c r="I275" s="72"/>
      <c r="J275" s="103"/>
      <c r="K275" s="100"/>
      <c r="L275" s="101"/>
      <c r="M275" s="6"/>
    </row>
    <row r="276" spans="1:13">
      <c r="A276" s="4"/>
      <c r="B276" s="72"/>
      <c r="D276" s="5"/>
      <c r="E276" s="97"/>
      <c r="F276" s="103"/>
      <c r="G276" s="100"/>
      <c r="I276" s="72"/>
      <c r="J276" s="103"/>
      <c r="K276" s="100"/>
      <c r="L276" s="101"/>
      <c r="M276" s="6"/>
    </row>
    <row r="277" spans="1:13">
      <c r="B277" s="72"/>
      <c r="D277" s="5"/>
      <c r="E277" s="97"/>
      <c r="F277" s="107"/>
      <c r="G277" s="100"/>
      <c r="I277" s="72"/>
      <c r="J277" s="103"/>
      <c r="K277" s="100"/>
      <c r="L277" s="101"/>
      <c r="M277" s="6"/>
    </row>
    <row r="278" spans="1:13">
      <c r="A278" s="4"/>
      <c r="B278" s="72"/>
      <c r="D278" s="5"/>
      <c r="E278" s="96"/>
      <c r="F278" s="102"/>
      <c r="G278" s="102"/>
      <c r="I278" s="72"/>
      <c r="J278" s="103"/>
      <c r="K278" s="100"/>
      <c r="L278" s="101"/>
      <c r="M278" s="6"/>
    </row>
    <row r="279" spans="1:13">
      <c r="B279" s="72"/>
      <c r="D279" s="5"/>
      <c r="E279" s="97"/>
      <c r="F279" s="100"/>
      <c r="G279" s="100"/>
      <c r="I279" s="72"/>
      <c r="J279" s="103"/>
      <c r="K279" s="100"/>
      <c r="L279" s="101"/>
      <c r="M279" s="6"/>
    </row>
    <row r="280" spans="1:13">
      <c r="A280" s="4"/>
      <c r="B280" s="72"/>
      <c r="D280" s="5"/>
      <c r="E280" s="97"/>
      <c r="F280" s="100"/>
      <c r="G280" s="100"/>
      <c r="I280" s="72"/>
      <c r="J280" s="103"/>
      <c r="K280" s="100"/>
      <c r="L280" s="101"/>
      <c r="M280" s="6"/>
    </row>
    <row r="281" spans="1:13">
      <c r="B281" s="72"/>
      <c r="D281" s="5"/>
      <c r="E281" s="97"/>
      <c r="F281" s="104"/>
      <c r="G281" s="100"/>
      <c r="I281" s="72"/>
      <c r="J281" s="103"/>
      <c r="K281" s="100"/>
      <c r="L281" s="101"/>
      <c r="M281" s="6"/>
    </row>
    <row r="282" spans="1:13">
      <c r="A282" s="4"/>
      <c r="B282" s="4"/>
      <c r="D282" s="5"/>
      <c r="E282" s="97"/>
      <c r="F282" s="104"/>
      <c r="G282" s="100"/>
      <c r="I282" s="72"/>
      <c r="J282" s="103"/>
      <c r="K282" s="100"/>
      <c r="L282" s="101"/>
      <c r="M282" s="6"/>
    </row>
    <row r="283" spans="1:13">
      <c r="B283" s="72"/>
      <c r="D283" s="5"/>
      <c r="E283" s="97"/>
      <c r="F283" s="103"/>
      <c r="G283" s="100"/>
      <c r="I283" s="72"/>
      <c r="J283" s="103"/>
      <c r="K283" s="100"/>
      <c r="L283" s="101"/>
      <c r="M283" s="6"/>
    </row>
    <row r="284" spans="1:13">
      <c r="B284" s="72"/>
      <c r="D284" s="5"/>
      <c r="E284" s="96"/>
      <c r="F284" s="102"/>
      <c r="G284" s="100"/>
      <c r="I284" s="72"/>
      <c r="J284" s="103"/>
      <c r="K284" s="100"/>
      <c r="L284" s="101"/>
      <c r="M284" s="6"/>
    </row>
    <row r="285" spans="1:13">
      <c r="B285" s="72"/>
      <c r="D285" s="5"/>
      <c r="E285" s="97"/>
      <c r="F285" s="102"/>
      <c r="G285" s="100"/>
      <c r="I285" s="72"/>
      <c r="J285" s="103"/>
      <c r="K285" s="100"/>
      <c r="L285" s="101"/>
      <c r="M285" s="6"/>
    </row>
    <row r="286" spans="1:13">
      <c r="B286" s="72"/>
      <c r="D286" s="5"/>
      <c r="E286" s="97"/>
      <c r="F286" s="100"/>
      <c r="G286" s="100"/>
      <c r="I286" s="72"/>
      <c r="J286" s="103"/>
      <c r="K286" s="100"/>
      <c r="L286" s="101"/>
      <c r="M286" s="6"/>
    </row>
    <row r="287" spans="1:13">
      <c r="B287" s="72"/>
      <c r="D287" s="5"/>
      <c r="E287" s="97"/>
      <c r="F287" s="100"/>
      <c r="G287" s="100"/>
      <c r="I287" s="72"/>
      <c r="J287" s="103"/>
      <c r="K287" s="100"/>
      <c r="L287" s="101"/>
      <c r="M287" s="6"/>
    </row>
    <row r="288" spans="1:13">
      <c r="A288" s="4"/>
      <c r="B288" s="72"/>
      <c r="D288" s="5"/>
      <c r="E288" s="97"/>
      <c r="F288" s="107"/>
      <c r="G288" s="100"/>
      <c r="I288" s="72"/>
      <c r="J288" s="103"/>
      <c r="K288" s="100"/>
      <c r="L288" s="101"/>
      <c r="M288" s="6"/>
    </row>
    <row r="289" spans="1:13">
      <c r="B289" s="72"/>
      <c r="D289" s="5"/>
      <c r="E289" s="97"/>
      <c r="F289" s="102"/>
      <c r="G289" s="100"/>
      <c r="I289" s="72"/>
      <c r="J289" s="103"/>
      <c r="K289" s="100"/>
      <c r="L289" s="101"/>
      <c r="M289" s="6"/>
    </row>
    <row r="290" spans="1:13">
      <c r="A290" s="4"/>
      <c r="B290" s="72"/>
      <c r="D290" s="5"/>
      <c r="E290" s="97"/>
      <c r="F290" s="102"/>
      <c r="G290" s="100"/>
      <c r="I290" s="72"/>
      <c r="J290" s="103"/>
      <c r="K290" s="100"/>
      <c r="L290" s="101"/>
      <c r="M290" s="6"/>
    </row>
    <row r="291" spans="1:13">
      <c r="B291" s="72"/>
      <c r="D291" s="5"/>
      <c r="E291" s="97"/>
      <c r="F291" s="102"/>
      <c r="G291" s="100"/>
      <c r="I291" s="72"/>
      <c r="J291" s="103"/>
      <c r="K291" s="100"/>
      <c r="L291" s="101"/>
      <c r="M291" s="6"/>
    </row>
    <row r="292" spans="1:13">
      <c r="A292" s="4"/>
      <c r="B292" s="72"/>
      <c r="D292" s="5"/>
      <c r="E292" s="97"/>
      <c r="F292" s="100"/>
      <c r="G292" s="100"/>
      <c r="I292" s="72"/>
      <c r="J292" s="103"/>
      <c r="K292" s="100"/>
      <c r="L292" s="101"/>
      <c r="M292" s="6"/>
    </row>
    <row r="293" spans="1:13">
      <c r="B293" s="72"/>
      <c r="D293" s="5"/>
      <c r="E293" s="97"/>
      <c r="F293" s="105"/>
      <c r="G293" s="100"/>
      <c r="I293" s="72"/>
      <c r="J293" s="103"/>
      <c r="K293" s="100"/>
      <c r="L293" s="101"/>
      <c r="M293" s="6"/>
    </row>
    <row r="294" spans="1:13">
      <c r="A294" s="4"/>
      <c r="B294" s="72"/>
      <c r="D294" s="5"/>
      <c r="E294" s="97"/>
      <c r="F294" s="102"/>
      <c r="G294" s="100"/>
      <c r="I294" s="72"/>
      <c r="J294" s="103"/>
      <c r="K294" s="100"/>
      <c r="L294" s="101"/>
      <c r="M294" s="6"/>
    </row>
    <row r="295" spans="1:13">
      <c r="B295" s="72"/>
      <c r="D295" s="5"/>
      <c r="E295" s="97"/>
      <c r="F295" s="103"/>
      <c r="G295" s="100"/>
      <c r="I295" s="72"/>
      <c r="J295" s="103"/>
      <c r="K295" s="100"/>
      <c r="L295" s="101"/>
      <c r="M295" s="6"/>
    </row>
    <row r="296" spans="1:13">
      <c r="B296" s="72"/>
      <c r="D296" s="5"/>
      <c r="E296" s="96"/>
      <c r="F296" s="104"/>
      <c r="G296" s="100"/>
      <c r="I296" s="72"/>
      <c r="J296" s="103"/>
      <c r="K296" s="100"/>
      <c r="L296" s="101"/>
      <c r="M296" s="6"/>
    </row>
    <row r="297" spans="1:13">
      <c r="B297" s="72"/>
      <c r="D297" s="5"/>
      <c r="E297" s="96"/>
      <c r="F297" s="107"/>
      <c r="G297" s="100"/>
      <c r="I297" s="72"/>
      <c r="J297" s="103"/>
      <c r="K297" s="100"/>
      <c r="L297" s="101"/>
      <c r="M297" s="6"/>
    </row>
    <row r="298" spans="1:13">
      <c r="B298" s="72"/>
      <c r="D298" s="5"/>
      <c r="E298" s="97"/>
      <c r="F298" s="105"/>
      <c r="G298" s="100"/>
      <c r="I298" s="72"/>
      <c r="J298" s="103"/>
      <c r="K298" s="100"/>
      <c r="L298" s="101"/>
      <c r="M298" s="6"/>
    </row>
    <row r="299" spans="1:13">
      <c r="B299" s="72"/>
      <c r="D299" s="5"/>
      <c r="E299" s="97"/>
      <c r="F299" s="100"/>
      <c r="G299" s="100"/>
      <c r="I299" s="72"/>
      <c r="J299" s="103"/>
      <c r="K299" s="100"/>
      <c r="L299" s="101"/>
      <c r="M299" s="6"/>
    </row>
    <row r="300" spans="1:13">
      <c r="B300" s="72"/>
      <c r="D300" s="5"/>
      <c r="E300" s="97"/>
      <c r="F300" s="100"/>
      <c r="G300" s="100"/>
      <c r="I300" s="72"/>
      <c r="J300" s="103"/>
      <c r="K300" s="100"/>
      <c r="L300" s="101"/>
      <c r="M300" s="6"/>
    </row>
    <row r="301" spans="1:13">
      <c r="B301" s="72"/>
      <c r="D301" s="5"/>
      <c r="E301" s="97"/>
      <c r="F301" s="102"/>
      <c r="G301" s="100"/>
      <c r="I301" s="72"/>
      <c r="J301" s="103"/>
      <c r="K301" s="100"/>
      <c r="L301" s="101"/>
      <c r="M301" s="6"/>
    </row>
    <row r="302" spans="1:13">
      <c r="B302" s="4"/>
      <c r="D302" s="5"/>
      <c r="E302" s="97"/>
      <c r="F302" s="103"/>
      <c r="G302" s="100"/>
      <c r="I302" s="72"/>
      <c r="J302" s="103"/>
      <c r="K302" s="100"/>
      <c r="L302" s="101"/>
      <c r="M302" s="6"/>
    </row>
    <row r="303" spans="1:13">
      <c r="B303" s="72"/>
      <c r="D303" s="5"/>
      <c r="E303" s="97"/>
      <c r="F303" s="103"/>
      <c r="G303" s="100"/>
      <c r="I303" s="72"/>
      <c r="J303" s="103"/>
      <c r="K303" s="100"/>
      <c r="L303" s="101"/>
      <c r="M303" s="6"/>
    </row>
    <row r="304" spans="1:13">
      <c r="B304" s="72"/>
      <c r="D304" s="5"/>
      <c r="E304" s="97"/>
      <c r="F304" s="103"/>
      <c r="G304" s="100"/>
      <c r="I304" s="72"/>
      <c r="J304" s="103"/>
      <c r="K304" s="100"/>
      <c r="L304" s="101"/>
      <c r="M304" s="6"/>
    </row>
    <row r="305" spans="1:13">
      <c r="B305" s="72"/>
      <c r="D305" s="5"/>
      <c r="E305" s="97"/>
      <c r="F305" s="102"/>
      <c r="G305" s="100"/>
      <c r="I305" s="72"/>
      <c r="J305" s="103"/>
      <c r="K305" s="100"/>
      <c r="L305" s="101"/>
      <c r="M305" s="6"/>
    </row>
    <row r="306" spans="1:13">
      <c r="B306" s="72"/>
      <c r="D306" s="5"/>
      <c r="E306" s="97"/>
      <c r="F306" s="100"/>
      <c r="G306" s="100"/>
      <c r="I306" s="72"/>
      <c r="J306" s="103"/>
      <c r="K306" s="100"/>
      <c r="L306" s="101"/>
      <c r="M306" s="6"/>
    </row>
    <row r="307" spans="1:13">
      <c r="B307" s="72"/>
      <c r="D307" s="5"/>
      <c r="E307" s="97"/>
      <c r="F307" s="104"/>
      <c r="G307" s="100"/>
      <c r="I307" s="72"/>
      <c r="J307" s="103"/>
      <c r="K307" s="100"/>
      <c r="L307" s="101"/>
      <c r="M307" s="6"/>
    </row>
    <row r="308" spans="1:13">
      <c r="B308" s="72"/>
      <c r="D308" s="5"/>
      <c r="E308" s="97"/>
      <c r="F308" s="104"/>
      <c r="G308" s="100"/>
      <c r="I308" s="72"/>
      <c r="J308" s="103"/>
      <c r="K308" s="100"/>
      <c r="L308" s="101"/>
      <c r="M308" s="6"/>
    </row>
    <row r="309" spans="1:13">
      <c r="B309" s="13"/>
      <c r="D309" s="5"/>
      <c r="E309" s="97"/>
      <c r="F309" s="102"/>
      <c r="G309" s="100"/>
      <c r="I309" s="72"/>
      <c r="J309" s="103"/>
      <c r="K309" s="100"/>
      <c r="L309" s="101"/>
      <c r="M309" s="6"/>
    </row>
    <row r="310" spans="1:13">
      <c r="A310" s="4"/>
      <c r="B310" s="13"/>
      <c r="D310" s="5"/>
      <c r="F310" s="14"/>
      <c r="I310" s="72"/>
      <c r="J310" s="103"/>
      <c r="K310" s="100"/>
      <c r="L310" s="101"/>
      <c r="M310" s="6"/>
    </row>
    <row r="311" spans="1:13">
      <c r="A311" s="29"/>
      <c r="B311" s="13"/>
      <c r="D311" s="5"/>
      <c r="F311" s="14"/>
      <c r="I311" s="72"/>
      <c r="J311" s="103"/>
      <c r="K311" s="100"/>
      <c r="L311" s="101"/>
      <c r="M311" s="6"/>
    </row>
    <row r="312" spans="1:13">
      <c r="A312" s="29"/>
      <c r="B312" s="13"/>
      <c r="D312" s="5"/>
      <c r="F312" s="14"/>
      <c r="I312" s="72"/>
      <c r="J312" s="103"/>
      <c r="K312" s="100"/>
      <c r="L312" s="101"/>
      <c r="M312" s="6"/>
    </row>
    <row r="313" spans="1:13">
      <c r="A313" s="29"/>
      <c r="B313" s="13"/>
      <c r="D313" s="5"/>
      <c r="F313" s="14"/>
      <c r="I313" s="72"/>
      <c r="J313" s="103"/>
      <c r="K313" s="100"/>
      <c r="L313" s="101"/>
      <c r="M313" s="6"/>
    </row>
    <row r="314" spans="1:13">
      <c r="A314" s="13"/>
      <c r="B314" s="13"/>
      <c r="D314" s="5"/>
      <c r="F314" s="14"/>
      <c r="I314" s="72"/>
      <c r="J314" s="103"/>
      <c r="K314" s="100"/>
      <c r="L314" s="101"/>
      <c r="M314" s="6"/>
    </row>
    <row r="315" spans="1:13">
      <c r="A315" s="29"/>
      <c r="B315" s="13"/>
      <c r="D315" s="5"/>
      <c r="F315" s="14"/>
      <c r="I315" s="72"/>
      <c r="J315" s="103"/>
      <c r="K315" s="100"/>
      <c r="L315" s="101"/>
      <c r="M315" s="6"/>
    </row>
    <row r="316" spans="1:13">
      <c r="A316" s="13"/>
      <c r="B316" s="13"/>
      <c r="D316" s="5"/>
      <c r="F316" s="14"/>
      <c r="I316" s="72"/>
      <c r="J316" s="103"/>
      <c r="K316" s="100"/>
      <c r="L316" s="101"/>
      <c r="M316" s="6"/>
    </row>
    <row r="317" spans="1:13">
      <c r="B317" s="13"/>
      <c r="D317" s="5"/>
      <c r="F317" s="14"/>
      <c r="I317" s="72"/>
      <c r="J317" s="103"/>
      <c r="K317" s="100"/>
      <c r="L317" s="101"/>
      <c r="M317" s="6"/>
    </row>
    <row r="318" spans="1:13">
      <c r="B318" s="13"/>
      <c r="D318" s="5"/>
      <c r="F318" s="14"/>
      <c r="I318" s="72"/>
      <c r="J318" s="103"/>
      <c r="K318" s="100"/>
      <c r="L318" s="101"/>
      <c r="M318" s="6"/>
    </row>
    <row r="319" spans="1:13">
      <c r="B319" s="13"/>
      <c r="D319" s="5"/>
      <c r="F319" s="14"/>
      <c r="I319" s="72"/>
      <c r="J319" s="103"/>
      <c r="K319" s="100"/>
      <c r="L319" s="101"/>
      <c r="M319" s="6"/>
    </row>
    <row r="320" spans="1:13">
      <c r="B320" s="13"/>
      <c r="D320" s="5"/>
      <c r="F320" s="14"/>
      <c r="I320" s="72"/>
      <c r="J320" s="103"/>
      <c r="K320" s="100"/>
      <c r="L320" s="101"/>
      <c r="M320" s="6"/>
    </row>
    <row r="321" spans="1:13">
      <c r="B321" s="13"/>
      <c r="D321" s="5"/>
      <c r="E321" s="7"/>
      <c r="F321" s="14"/>
      <c r="I321" s="72"/>
      <c r="J321" s="103"/>
      <c r="K321" s="100"/>
      <c r="L321" s="101"/>
      <c r="M321" s="6"/>
    </row>
    <row r="322" spans="1:13">
      <c r="B322" s="13"/>
      <c r="D322" s="5"/>
      <c r="F322" s="18"/>
      <c r="I322" s="72"/>
      <c r="J322" s="103"/>
      <c r="K322" s="100"/>
      <c r="L322" s="101"/>
      <c r="M322" s="6"/>
    </row>
    <row r="323" spans="1:13">
      <c r="B323" s="13"/>
      <c r="D323" s="5"/>
      <c r="F323" s="14"/>
      <c r="I323" s="72"/>
      <c r="J323" s="103"/>
      <c r="K323" s="100"/>
      <c r="L323" s="101"/>
      <c r="M323" s="6"/>
    </row>
    <row r="324" spans="1:13">
      <c r="B324" s="13"/>
      <c r="D324" s="5"/>
      <c r="E324" s="7"/>
      <c r="F324" s="14"/>
      <c r="I324" s="72"/>
      <c r="J324" s="103"/>
      <c r="K324" s="100"/>
      <c r="L324" s="101"/>
      <c r="M324" s="6"/>
    </row>
    <row r="325" spans="1:13">
      <c r="B325" s="13"/>
      <c r="D325" s="5"/>
      <c r="F325" s="14"/>
      <c r="I325" s="72"/>
      <c r="J325" s="103"/>
      <c r="K325" s="100"/>
      <c r="L325" s="101"/>
      <c r="M325" s="6"/>
    </row>
    <row r="326" spans="1:13">
      <c r="B326" s="13"/>
      <c r="D326" s="5"/>
      <c r="F326" s="14"/>
      <c r="I326" s="72"/>
      <c r="J326" s="103"/>
      <c r="K326" s="100"/>
      <c r="L326" s="101"/>
      <c r="M326" s="6"/>
    </row>
    <row r="327" spans="1:13">
      <c r="B327" s="13"/>
      <c r="D327" s="5"/>
      <c r="F327" s="14"/>
      <c r="I327" s="72"/>
      <c r="J327" s="103"/>
      <c r="K327" s="100"/>
      <c r="L327" s="101"/>
      <c r="M327" s="6"/>
    </row>
    <row r="328" spans="1:13">
      <c r="B328" s="13"/>
      <c r="D328" s="5"/>
      <c r="F328" s="14"/>
      <c r="I328" s="72"/>
      <c r="J328" s="103"/>
      <c r="K328" s="100"/>
      <c r="L328" s="101"/>
      <c r="M328" s="6"/>
    </row>
    <row r="329" spans="1:13">
      <c r="B329" s="13"/>
      <c r="D329" s="5"/>
      <c r="F329" s="14"/>
      <c r="I329" s="72"/>
      <c r="J329" s="103"/>
      <c r="K329" s="100"/>
      <c r="L329" s="101"/>
      <c r="M329" s="6"/>
    </row>
    <row r="330" spans="1:13">
      <c r="B330" s="13"/>
      <c r="D330" s="5"/>
      <c r="E330" s="7"/>
      <c r="F330" s="14"/>
      <c r="I330" s="72"/>
      <c r="J330" s="103"/>
      <c r="K330" s="100"/>
      <c r="L330" s="101"/>
      <c r="M330" s="6"/>
    </row>
    <row r="331" spans="1:13">
      <c r="A331" s="29"/>
      <c r="B331" s="13"/>
      <c r="D331" s="5"/>
      <c r="F331" s="14"/>
      <c r="I331" s="72"/>
      <c r="J331" s="103"/>
      <c r="K331" s="100"/>
      <c r="L331" s="101"/>
      <c r="M331" s="6"/>
    </row>
    <row r="332" spans="1:13">
      <c r="A332" s="29"/>
      <c r="B332" s="4"/>
      <c r="D332" s="5"/>
      <c r="F332" s="18"/>
      <c r="I332" s="72"/>
      <c r="J332" s="103"/>
      <c r="K332" s="100"/>
      <c r="L332" s="101"/>
      <c r="M332" s="6"/>
    </row>
    <row r="333" spans="1:13">
      <c r="A333" s="29"/>
      <c r="B333" s="13"/>
      <c r="D333" s="5"/>
      <c r="F333" s="14"/>
      <c r="I333" s="72"/>
      <c r="J333" s="103"/>
      <c r="K333" s="100"/>
      <c r="L333" s="101"/>
      <c r="M333" s="6"/>
    </row>
    <row r="334" spans="1:13">
      <c r="A334" s="29"/>
      <c r="B334" s="13"/>
      <c r="D334" s="5"/>
      <c r="F334" s="14"/>
      <c r="I334" s="72"/>
      <c r="J334" s="103"/>
      <c r="K334" s="100"/>
      <c r="L334" s="101"/>
      <c r="M334" s="6"/>
    </row>
    <row r="335" spans="1:13">
      <c r="A335" s="29"/>
      <c r="B335" s="13"/>
      <c r="D335" s="5"/>
      <c r="E335" s="7"/>
      <c r="F335" s="14"/>
      <c r="I335" s="72"/>
      <c r="J335" s="103"/>
      <c r="K335" s="100"/>
      <c r="L335" s="101"/>
      <c r="M335" s="6"/>
    </row>
    <row r="336" spans="1:13">
      <c r="A336" s="29"/>
      <c r="B336" s="13"/>
      <c r="D336" s="5"/>
      <c r="F336" s="14"/>
      <c r="I336" s="72"/>
      <c r="J336" s="103"/>
      <c r="K336" s="100"/>
      <c r="L336" s="101"/>
      <c r="M336" s="6"/>
    </row>
    <row r="337" spans="1:13">
      <c r="A337" s="29"/>
      <c r="B337" s="13"/>
      <c r="D337" s="5"/>
      <c r="F337" s="14"/>
      <c r="I337" s="72"/>
      <c r="J337" s="103"/>
      <c r="K337" s="100"/>
      <c r="L337" s="101"/>
      <c r="M337" s="6"/>
    </row>
    <row r="338" spans="1:13">
      <c r="A338" s="29"/>
      <c r="B338" s="13"/>
      <c r="D338" s="5"/>
      <c r="F338" s="14"/>
      <c r="I338" s="72"/>
      <c r="J338" s="103"/>
      <c r="K338" s="100"/>
      <c r="L338" s="101"/>
      <c r="M338" s="6"/>
    </row>
    <row r="339" spans="1:13">
      <c r="A339" s="30"/>
      <c r="B339" s="13"/>
      <c r="D339" s="5"/>
      <c r="F339" s="14"/>
      <c r="I339" s="72"/>
      <c r="J339" s="103"/>
      <c r="K339" s="100"/>
      <c r="L339" s="101"/>
      <c r="M339" s="6"/>
    </row>
    <row r="340" spans="1:13">
      <c r="A340" s="29"/>
      <c r="B340" s="13"/>
      <c r="D340" s="5"/>
      <c r="E340" s="7"/>
      <c r="F340" s="14"/>
      <c r="I340" s="72"/>
      <c r="J340" s="103"/>
      <c r="K340" s="100"/>
      <c r="L340" s="101"/>
      <c r="M340" s="6"/>
    </row>
    <row r="341" spans="1:13">
      <c r="A341" s="29"/>
      <c r="B341" s="13"/>
      <c r="D341" s="5"/>
      <c r="F341" s="14"/>
      <c r="I341" s="72"/>
      <c r="J341" s="103"/>
      <c r="K341" s="100"/>
      <c r="L341" s="101"/>
      <c r="M341" s="6"/>
    </row>
    <row r="342" spans="1:13">
      <c r="A342" s="29"/>
      <c r="B342" s="13"/>
      <c r="D342" s="5"/>
      <c r="E342" s="7"/>
      <c r="F342" s="14"/>
      <c r="I342" s="72"/>
      <c r="J342" s="103"/>
      <c r="K342" s="100"/>
      <c r="L342" s="101"/>
      <c r="M342" s="6"/>
    </row>
    <row r="343" spans="1:13">
      <c r="A343" s="29"/>
      <c r="B343" s="13"/>
      <c r="D343" s="5"/>
      <c r="F343" s="14"/>
      <c r="I343" s="72"/>
      <c r="J343" s="103"/>
      <c r="K343" s="100"/>
      <c r="L343" s="101"/>
      <c r="M343" s="6"/>
    </row>
    <row r="344" spans="1:13">
      <c r="A344" s="29"/>
      <c r="B344" s="13"/>
      <c r="D344" s="5"/>
      <c r="E344" s="7"/>
      <c r="I344" s="72"/>
      <c r="J344" s="103"/>
      <c r="K344" s="100"/>
      <c r="L344" s="101"/>
      <c r="M344" s="6"/>
    </row>
    <row r="345" spans="1:13">
      <c r="A345" s="29"/>
      <c r="B345" s="13"/>
      <c r="D345" s="5"/>
      <c r="F345" s="14"/>
      <c r="I345" s="72"/>
      <c r="J345" s="103"/>
      <c r="K345" s="100"/>
      <c r="L345" s="101"/>
      <c r="M345" s="6"/>
    </row>
    <row r="346" spans="1:13">
      <c r="A346" s="29"/>
      <c r="B346" s="13"/>
      <c r="D346" s="5"/>
      <c r="E346" s="7"/>
      <c r="F346" s="14"/>
      <c r="I346" s="72"/>
      <c r="J346" s="103"/>
      <c r="K346" s="100"/>
      <c r="L346" s="101"/>
      <c r="M346" s="6"/>
    </row>
    <row r="347" spans="1:13">
      <c r="A347" s="29"/>
      <c r="B347" s="13"/>
      <c r="D347" s="5"/>
      <c r="F347" s="14"/>
      <c r="I347" s="72"/>
      <c r="J347" s="103"/>
      <c r="K347" s="100"/>
      <c r="L347" s="101"/>
      <c r="M347" s="6"/>
    </row>
    <row r="348" spans="1:13">
      <c r="A348" s="29"/>
      <c r="B348" s="13"/>
      <c r="D348" s="5"/>
      <c r="F348" s="14"/>
      <c r="I348" s="72"/>
      <c r="J348" s="103"/>
      <c r="K348" s="100"/>
      <c r="L348" s="101"/>
      <c r="M348" s="6"/>
    </row>
    <row r="349" spans="1:13">
      <c r="B349" s="13"/>
      <c r="D349" s="5"/>
      <c r="F349" s="14"/>
      <c r="I349" s="72"/>
      <c r="J349" s="103"/>
      <c r="K349" s="100"/>
      <c r="L349" s="101"/>
      <c r="M349" s="6"/>
    </row>
    <row r="350" spans="1:13">
      <c r="B350" s="13"/>
      <c r="D350" s="5"/>
      <c r="F350" s="14"/>
      <c r="I350" s="72"/>
      <c r="J350" s="103"/>
      <c r="K350" s="100"/>
      <c r="L350" s="101"/>
      <c r="M350" s="6"/>
    </row>
    <row r="351" spans="1:13">
      <c r="B351" s="13"/>
      <c r="D351" s="5"/>
      <c r="F351" s="14"/>
      <c r="I351" s="72"/>
      <c r="J351" s="103"/>
      <c r="K351" s="100"/>
      <c r="L351" s="101"/>
      <c r="M351" s="6"/>
    </row>
    <row r="352" spans="1:13">
      <c r="B352" s="13"/>
      <c r="D352" s="5"/>
      <c r="F352" s="14"/>
      <c r="I352" s="72"/>
      <c r="J352" s="103"/>
      <c r="K352" s="100"/>
      <c r="L352" s="101"/>
      <c r="M352" s="6"/>
    </row>
    <row r="353" spans="2:13">
      <c r="B353" s="13"/>
      <c r="D353" s="5"/>
      <c r="F353" s="14"/>
      <c r="I353" s="72"/>
      <c r="J353" s="103"/>
      <c r="K353" s="100"/>
      <c r="L353" s="101"/>
      <c r="M353" s="6"/>
    </row>
    <row r="354" spans="2:13">
      <c r="B354" s="13"/>
      <c r="D354" s="5"/>
      <c r="E354" s="7"/>
      <c r="F354" s="14"/>
      <c r="I354" s="72"/>
      <c r="J354" s="103"/>
      <c r="K354" s="100"/>
      <c r="L354" s="101"/>
      <c r="M354" s="6"/>
    </row>
    <row r="355" spans="2:13">
      <c r="B355" s="13"/>
      <c r="D355" s="5"/>
      <c r="F355" s="14"/>
      <c r="I355" s="72"/>
      <c r="J355" s="103"/>
      <c r="K355" s="100"/>
      <c r="L355" s="101"/>
      <c r="M355" s="6"/>
    </row>
    <row r="356" spans="2:13">
      <c r="B356" s="13"/>
      <c r="D356" s="5"/>
      <c r="F356" s="14"/>
      <c r="I356" s="72"/>
      <c r="J356" s="103"/>
      <c r="K356" s="100"/>
      <c r="L356" s="101"/>
      <c r="M356" s="6"/>
    </row>
    <row r="357" spans="2:13">
      <c r="B357" s="13"/>
      <c r="D357" s="5"/>
      <c r="F357" s="14"/>
      <c r="I357" s="72"/>
      <c r="J357" s="103"/>
      <c r="K357" s="100"/>
      <c r="L357" s="101"/>
      <c r="M357" s="6"/>
    </row>
    <row r="358" spans="2:13">
      <c r="B358" s="74"/>
      <c r="D358" s="5"/>
      <c r="F358" s="14"/>
      <c r="I358" s="72"/>
      <c r="J358" s="103"/>
      <c r="K358" s="100"/>
      <c r="L358" s="101"/>
      <c r="M358" s="6"/>
    </row>
    <row r="359" spans="2:13">
      <c r="B359" s="13"/>
      <c r="D359" s="5"/>
      <c r="E359" s="7"/>
      <c r="F359" s="14"/>
      <c r="I359" s="72"/>
      <c r="J359" s="103"/>
      <c r="K359" s="100"/>
      <c r="L359" s="101"/>
      <c r="M359" s="6"/>
    </row>
    <row r="360" spans="2:13">
      <c r="B360" s="13"/>
      <c r="D360" s="5"/>
      <c r="E360" s="7"/>
      <c r="F360" s="14"/>
      <c r="I360" s="72"/>
      <c r="J360" s="103"/>
      <c r="K360" s="100"/>
      <c r="L360" s="101"/>
      <c r="M360" s="6"/>
    </row>
    <row r="361" spans="2:13">
      <c r="B361" s="13"/>
      <c r="D361" s="5"/>
      <c r="F361" s="14"/>
      <c r="I361" s="72"/>
      <c r="J361" s="103"/>
      <c r="K361" s="100"/>
      <c r="L361" s="101"/>
      <c r="M361" s="6"/>
    </row>
    <row r="362" spans="2:13">
      <c r="B362" s="13"/>
      <c r="D362" s="5"/>
      <c r="F362" s="14"/>
      <c r="I362" s="72"/>
      <c r="J362" s="103"/>
      <c r="K362" s="100"/>
      <c r="L362" s="101"/>
      <c r="M362" s="6"/>
    </row>
    <row r="363" spans="2:13">
      <c r="B363" s="13"/>
      <c r="D363" s="5"/>
      <c r="F363" s="14"/>
      <c r="I363" s="72"/>
      <c r="J363" s="103"/>
      <c r="K363" s="100"/>
      <c r="L363" s="101"/>
      <c r="M363" s="6"/>
    </row>
    <row r="364" spans="2:13">
      <c r="B364" s="13"/>
      <c r="D364" s="5"/>
      <c r="F364" s="14"/>
      <c r="I364" s="72"/>
      <c r="J364" s="103"/>
      <c r="K364" s="100"/>
      <c r="L364" s="101"/>
      <c r="M364" s="6"/>
    </row>
    <row r="365" spans="2:13">
      <c r="B365" s="13"/>
      <c r="D365" s="5"/>
      <c r="E365" s="7"/>
      <c r="F365" s="14"/>
      <c r="I365" s="72"/>
      <c r="J365" s="103"/>
      <c r="K365" s="100"/>
      <c r="L365" s="101"/>
      <c r="M365" s="6"/>
    </row>
    <row r="366" spans="2:13">
      <c r="B366" s="13"/>
      <c r="D366" s="5"/>
      <c r="F366" s="14"/>
      <c r="I366" s="72"/>
      <c r="J366" s="103"/>
      <c r="K366" s="100"/>
      <c r="L366" s="101"/>
      <c r="M366" s="6"/>
    </row>
    <row r="367" spans="2:13">
      <c r="B367" s="13"/>
      <c r="D367" s="5"/>
      <c r="F367" s="14"/>
      <c r="I367" s="72"/>
      <c r="J367" s="103"/>
      <c r="K367" s="100"/>
      <c r="L367" s="101"/>
      <c r="M367" s="6"/>
    </row>
    <row r="368" spans="2:13">
      <c r="B368" s="13"/>
      <c r="D368" s="5"/>
      <c r="F368" s="14"/>
      <c r="I368" s="72"/>
      <c r="J368" s="103"/>
      <c r="K368" s="100"/>
      <c r="L368" s="101"/>
      <c r="M368" s="6"/>
    </row>
    <row r="369" spans="1:13">
      <c r="B369" s="13"/>
      <c r="D369" s="5"/>
      <c r="F369" s="14"/>
      <c r="I369" s="72"/>
      <c r="J369" s="103"/>
      <c r="K369" s="100"/>
      <c r="L369" s="101"/>
      <c r="M369" s="6"/>
    </row>
    <row r="370" spans="1:13">
      <c r="B370" s="13"/>
      <c r="D370" s="5"/>
      <c r="F370" s="14"/>
      <c r="I370" s="72"/>
      <c r="J370" s="103"/>
      <c r="K370" s="100"/>
      <c r="L370" s="101"/>
      <c r="M370" s="6"/>
    </row>
    <row r="371" spans="1:13">
      <c r="B371" s="13"/>
      <c r="D371" s="5"/>
      <c r="F371" s="14"/>
      <c r="I371" s="72"/>
      <c r="J371" s="103"/>
      <c r="K371" s="100"/>
      <c r="L371" s="101"/>
      <c r="M371" s="6"/>
    </row>
    <row r="372" spans="1:13">
      <c r="B372" s="13"/>
      <c r="D372" s="5"/>
      <c r="F372" s="14"/>
      <c r="I372" s="72"/>
      <c r="J372" s="103"/>
      <c r="K372" s="100"/>
      <c r="L372" s="101"/>
      <c r="M372" s="6"/>
    </row>
    <row r="373" spans="1:13">
      <c r="B373" s="13"/>
      <c r="D373" s="5"/>
      <c r="E373" s="7"/>
      <c r="F373" s="14"/>
      <c r="I373" s="72"/>
      <c r="J373" s="103"/>
      <c r="K373" s="100"/>
      <c r="L373" s="101"/>
      <c r="M373" s="6"/>
    </row>
    <row r="374" spans="1:13">
      <c r="B374" s="13"/>
      <c r="D374" s="5"/>
      <c r="F374" s="14"/>
      <c r="I374" s="72"/>
      <c r="J374" s="103"/>
      <c r="K374" s="100"/>
      <c r="L374" s="101"/>
      <c r="M374" s="6"/>
    </row>
    <row r="375" spans="1:13">
      <c r="B375" s="13"/>
      <c r="D375" s="5"/>
      <c r="F375" s="14"/>
      <c r="I375" s="72"/>
      <c r="J375" s="103"/>
      <c r="K375" s="100"/>
      <c r="L375" s="101"/>
      <c r="M375" s="6"/>
    </row>
    <row r="376" spans="1:13">
      <c r="B376" s="13"/>
      <c r="D376" s="5"/>
      <c r="E376" s="7"/>
      <c r="I376" s="72"/>
      <c r="J376" s="103"/>
      <c r="K376" s="100"/>
      <c r="L376" s="101"/>
      <c r="M376" s="6"/>
    </row>
    <row r="377" spans="1:13">
      <c r="B377" s="13"/>
      <c r="D377" s="5"/>
      <c r="I377" s="72"/>
      <c r="J377" s="103"/>
      <c r="K377" s="100"/>
      <c r="L377" s="101"/>
      <c r="M377" s="6"/>
    </row>
    <row r="378" spans="1:13">
      <c r="B378" s="13"/>
      <c r="D378" s="5"/>
      <c r="I378" s="72"/>
      <c r="J378" s="103"/>
      <c r="K378" s="100"/>
      <c r="L378" s="101"/>
      <c r="M378" s="6"/>
    </row>
    <row r="379" spans="1:13">
      <c r="B379" s="13"/>
      <c r="D379" s="5"/>
      <c r="F379" s="14"/>
      <c r="I379" s="72"/>
      <c r="J379" s="103"/>
      <c r="K379" s="100"/>
      <c r="L379" s="101"/>
      <c r="M379" s="6"/>
    </row>
    <row r="380" spans="1:13">
      <c r="B380" s="13"/>
      <c r="D380" s="5"/>
      <c r="F380" s="14"/>
      <c r="I380" s="72"/>
      <c r="J380" s="103"/>
      <c r="K380" s="100"/>
      <c r="L380" s="101"/>
      <c r="M380" s="6"/>
    </row>
    <row r="381" spans="1:13">
      <c r="A381" s="7"/>
      <c r="B381" s="13"/>
      <c r="D381" s="5"/>
      <c r="F381" s="14"/>
      <c r="I381" s="72"/>
      <c r="J381" s="103"/>
      <c r="K381" s="100"/>
      <c r="L381" s="101"/>
      <c r="M381" s="6"/>
    </row>
    <row r="382" spans="1:13">
      <c r="B382" s="13"/>
      <c r="D382" s="5"/>
      <c r="I382" s="72"/>
      <c r="J382" s="103"/>
      <c r="K382" s="100"/>
      <c r="L382" s="101"/>
      <c r="M382" s="6"/>
    </row>
    <row r="383" spans="1:13">
      <c r="B383" s="13"/>
      <c r="D383" s="5"/>
      <c r="E383" s="7"/>
      <c r="I383" s="72"/>
      <c r="J383" s="103"/>
      <c r="K383" s="100"/>
      <c r="L383" s="101"/>
      <c r="M383" s="6"/>
    </row>
    <row r="384" spans="1:13">
      <c r="B384" s="13"/>
      <c r="D384" s="5"/>
      <c r="I384" s="72"/>
      <c r="J384" s="103"/>
      <c r="K384" s="100"/>
      <c r="L384" s="101"/>
      <c r="M384" s="6"/>
    </row>
    <row r="385" spans="1:17">
      <c r="B385" s="13"/>
      <c r="D385" s="5"/>
      <c r="F385" s="39"/>
      <c r="I385" s="72"/>
      <c r="J385" s="103"/>
      <c r="K385" s="100"/>
      <c r="L385" s="101"/>
      <c r="M385" s="6"/>
    </row>
    <row r="386" spans="1:17">
      <c r="B386" s="13"/>
      <c r="D386" s="5"/>
      <c r="E386" s="7"/>
      <c r="F386" s="12"/>
      <c r="I386" s="72"/>
      <c r="J386" s="103"/>
      <c r="K386" s="100"/>
      <c r="L386" s="101"/>
      <c r="M386" s="6"/>
    </row>
    <row r="387" spans="1:17">
      <c r="B387" s="13"/>
      <c r="D387" s="5"/>
      <c r="I387" s="72"/>
      <c r="J387" s="103"/>
      <c r="K387" s="100"/>
      <c r="L387" s="101"/>
      <c r="M387" s="6"/>
    </row>
    <row r="388" spans="1:17">
      <c r="B388" s="13"/>
      <c r="D388" s="5"/>
      <c r="I388" s="72"/>
      <c r="J388" s="103"/>
      <c r="K388" s="100"/>
      <c r="L388" s="101"/>
      <c r="M388" s="6"/>
    </row>
    <row r="389" spans="1:17">
      <c r="B389" s="13"/>
      <c r="D389" s="5"/>
      <c r="I389" s="72"/>
      <c r="J389" s="103"/>
      <c r="K389" s="100"/>
      <c r="L389" s="101"/>
      <c r="M389" s="6"/>
    </row>
    <row r="390" spans="1:17">
      <c r="B390" s="13"/>
      <c r="D390" s="5"/>
      <c r="I390" s="72"/>
      <c r="J390" s="103"/>
      <c r="K390" s="100"/>
      <c r="L390" s="101"/>
      <c r="M390" s="6"/>
    </row>
    <row r="391" spans="1:17">
      <c r="B391" s="13"/>
      <c r="D391" s="5"/>
      <c r="I391" s="72"/>
      <c r="J391" s="103"/>
      <c r="K391" s="100"/>
      <c r="L391" s="101"/>
      <c r="M391" s="6"/>
    </row>
    <row r="392" spans="1:17">
      <c r="B392" s="13"/>
      <c r="D392" s="5"/>
      <c r="F392" s="12"/>
      <c r="I392" s="72"/>
      <c r="J392" s="103"/>
      <c r="K392" s="100"/>
      <c r="L392" s="101"/>
      <c r="M392" s="6"/>
      <c r="N392" s="2"/>
      <c r="O392" s="5"/>
      <c r="P392" s="2"/>
      <c r="Q392" s="2"/>
    </row>
    <row r="393" spans="1:17">
      <c r="B393" s="13"/>
      <c r="D393" s="5"/>
      <c r="F393" s="12"/>
      <c r="I393" s="72"/>
      <c r="J393" s="103"/>
      <c r="K393" s="100"/>
      <c r="L393" s="101"/>
      <c r="M393" s="6"/>
      <c r="N393" s="2"/>
      <c r="O393" s="45"/>
      <c r="P393" s="5"/>
      <c r="Q393" s="2"/>
    </row>
    <row r="394" spans="1:17">
      <c r="B394" s="13"/>
      <c r="D394" s="5"/>
      <c r="I394" s="72"/>
      <c r="J394" s="103"/>
      <c r="K394" s="100"/>
      <c r="L394" s="101"/>
      <c r="M394" s="6"/>
      <c r="N394" s="2"/>
      <c r="O394" s="45"/>
      <c r="P394" s="5"/>
      <c r="Q394" s="2"/>
    </row>
    <row r="395" spans="1:17">
      <c r="B395" s="13"/>
      <c r="D395" s="5"/>
      <c r="F395" s="40"/>
      <c r="I395" s="72"/>
      <c r="J395" s="103"/>
      <c r="K395" s="100"/>
      <c r="L395" s="101"/>
      <c r="M395" s="6"/>
      <c r="N395" s="2"/>
      <c r="O395" s="41"/>
      <c r="P395" s="5"/>
      <c r="Q395" s="2"/>
    </row>
    <row r="396" spans="1:17">
      <c r="B396" s="13"/>
      <c r="D396" s="5"/>
      <c r="F396" s="14"/>
      <c r="I396" s="72"/>
      <c r="J396" s="103"/>
      <c r="K396" s="100"/>
      <c r="L396" s="101"/>
      <c r="M396" s="6"/>
      <c r="N396" s="2"/>
      <c r="O396" s="41"/>
      <c r="P396" s="5"/>
      <c r="Q396" s="2"/>
    </row>
    <row r="397" spans="1:17">
      <c r="B397" s="13"/>
      <c r="D397" s="5"/>
      <c r="E397" s="7"/>
      <c r="F397" s="14"/>
      <c r="I397" s="72"/>
      <c r="J397" s="103"/>
      <c r="K397" s="100"/>
      <c r="L397" s="101"/>
      <c r="M397" s="6"/>
      <c r="N397" s="2"/>
      <c r="O397" s="5"/>
      <c r="P397" s="5"/>
      <c r="Q397" s="2"/>
    </row>
    <row r="398" spans="1:17">
      <c r="B398" s="13"/>
      <c r="D398" s="5"/>
      <c r="F398" s="14"/>
      <c r="I398" s="72"/>
      <c r="J398" s="103"/>
      <c r="K398" s="100"/>
      <c r="L398" s="101"/>
      <c r="M398" s="6"/>
      <c r="N398" s="2"/>
      <c r="O398" s="45"/>
      <c r="P398" s="5"/>
      <c r="Q398" s="2"/>
    </row>
    <row r="399" spans="1:17">
      <c r="A399" s="7"/>
      <c r="B399" s="13"/>
      <c r="D399" s="5"/>
      <c r="F399" s="14"/>
      <c r="I399" s="72"/>
      <c r="J399" s="103"/>
      <c r="K399" s="100"/>
      <c r="L399" s="101"/>
      <c r="M399" s="6"/>
      <c r="N399" s="2"/>
      <c r="O399" s="5"/>
      <c r="P399" s="2"/>
      <c r="Q399" s="2"/>
    </row>
    <row r="400" spans="1:17">
      <c r="B400" s="13"/>
      <c r="D400" s="5"/>
      <c r="F400" s="14"/>
      <c r="I400" s="72"/>
      <c r="J400" s="103"/>
      <c r="K400" s="100"/>
      <c r="L400" s="101"/>
      <c r="M400" s="6"/>
    </row>
    <row r="401" spans="1:17">
      <c r="B401" s="13"/>
      <c r="D401" s="5"/>
      <c r="F401" s="14"/>
      <c r="I401" s="72"/>
      <c r="J401" s="103"/>
      <c r="K401" s="100"/>
      <c r="L401" s="101"/>
      <c r="M401" s="6"/>
    </row>
    <row r="402" spans="1:17">
      <c r="B402" s="13"/>
      <c r="D402" s="5"/>
      <c r="F402" s="14"/>
      <c r="I402" s="72"/>
      <c r="J402" s="103"/>
      <c r="K402" s="100"/>
      <c r="L402" s="101"/>
      <c r="M402" s="6"/>
    </row>
    <row r="403" spans="1:17">
      <c r="B403" s="13"/>
      <c r="D403" s="5"/>
      <c r="F403" s="14"/>
      <c r="I403" s="72"/>
      <c r="J403" s="103"/>
      <c r="K403" s="100"/>
      <c r="L403" s="101"/>
      <c r="M403" s="6"/>
    </row>
    <row r="404" spans="1:17">
      <c r="B404" s="13"/>
      <c r="D404" s="5"/>
      <c r="E404" s="7"/>
      <c r="F404" s="14"/>
      <c r="I404" s="72"/>
      <c r="J404" s="103"/>
      <c r="K404" s="100"/>
      <c r="L404" s="101"/>
      <c r="M404" s="6"/>
    </row>
    <row r="405" spans="1:17">
      <c r="B405" s="13"/>
      <c r="D405" s="5"/>
      <c r="F405" s="14"/>
      <c r="I405" s="72"/>
      <c r="J405" s="103"/>
      <c r="K405" s="100"/>
      <c r="L405" s="101"/>
      <c r="M405" s="6"/>
    </row>
    <row r="406" spans="1:17">
      <c r="B406" s="13"/>
      <c r="D406" s="5"/>
      <c r="F406" s="14"/>
      <c r="I406" s="72"/>
      <c r="J406" s="103"/>
      <c r="K406" s="100"/>
      <c r="L406" s="101"/>
      <c r="M406" s="6"/>
    </row>
    <row r="407" spans="1:17">
      <c r="B407" s="13"/>
      <c r="D407" s="5"/>
      <c r="F407" s="14"/>
      <c r="I407" s="72"/>
      <c r="J407" s="103"/>
      <c r="K407" s="100"/>
      <c r="L407" s="101"/>
      <c r="M407" s="6"/>
    </row>
    <row r="408" spans="1:17">
      <c r="B408" s="13"/>
      <c r="D408" s="5"/>
      <c r="E408" s="7"/>
      <c r="F408" s="14"/>
      <c r="I408" s="72"/>
      <c r="J408" s="103"/>
      <c r="K408" s="100"/>
      <c r="L408" s="101"/>
      <c r="M408" s="6"/>
    </row>
    <row r="409" spans="1:17">
      <c r="B409" s="13"/>
      <c r="D409" s="5"/>
      <c r="F409" s="14"/>
      <c r="I409" s="72"/>
      <c r="J409" s="103"/>
      <c r="K409" s="100"/>
      <c r="L409" s="101"/>
      <c r="M409" s="6"/>
    </row>
    <row r="410" spans="1:17">
      <c r="B410" s="13"/>
      <c r="D410" s="5"/>
      <c r="F410" s="14"/>
      <c r="I410" s="72"/>
      <c r="J410" s="103"/>
      <c r="K410" s="100"/>
      <c r="L410" s="101"/>
      <c r="M410" s="6"/>
    </row>
    <row r="411" spans="1:17">
      <c r="B411" s="13"/>
      <c r="D411" s="5"/>
      <c r="F411" s="14"/>
      <c r="I411" s="72"/>
      <c r="J411" s="103"/>
      <c r="K411" s="100"/>
      <c r="L411" s="101"/>
      <c r="M411" s="6"/>
    </row>
    <row r="412" spans="1:17">
      <c r="B412" s="13"/>
      <c r="D412" s="5"/>
      <c r="F412" s="14"/>
      <c r="I412" s="72"/>
      <c r="J412" s="103"/>
      <c r="K412" s="100"/>
      <c r="L412" s="101"/>
      <c r="M412" s="6"/>
    </row>
    <row r="413" spans="1:17">
      <c r="B413" s="13"/>
      <c r="D413" s="5"/>
      <c r="F413" s="14"/>
      <c r="I413" s="72"/>
      <c r="J413" s="103"/>
      <c r="K413" s="100"/>
      <c r="L413" s="101"/>
      <c r="M413" s="6"/>
      <c r="N413" s="2"/>
      <c r="O413" s="5"/>
      <c r="P413" s="2"/>
      <c r="Q413" s="2"/>
    </row>
    <row r="414" spans="1:17">
      <c r="B414" s="13"/>
      <c r="D414" s="5"/>
      <c r="F414" s="14"/>
      <c r="I414" s="72"/>
      <c r="J414" s="103"/>
      <c r="K414" s="100"/>
      <c r="L414" s="101"/>
      <c r="M414" s="6"/>
      <c r="N414" s="2"/>
      <c r="O414" s="5"/>
      <c r="P414" s="5"/>
      <c r="Q414" s="2"/>
    </row>
    <row r="415" spans="1:17">
      <c r="A415" s="7"/>
      <c r="B415" s="13"/>
      <c r="D415" s="5"/>
      <c r="F415" s="14"/>
      <c r="I415" s="72"/>
      <c r="J415" s="103"/>
      <c r="K415" s="100"/>
      <c r="L415" s="101"/>
      <c r="M415" s="6"/>
      <c r="N415" s="2"/>
      <c r="O415" s="5"/>
      <c r="P415" s="2"/>
      <c r="Q415" s="2"/>
    </row>
    <row r="416" spans="1:17">
      <c r="B416" s="13"/>
      <c r="D416" s="5"/>
      <c r="E416" s="7"/>
      <c r="F416" s="14"/>
      <c r="I416" s="72"/>
      <c r="J416" s="103"/>
      <c r="K416" s="100"/>
      <c r="L416" s="101"/>
      <c r="M416" s="6"/>
      <c r="N416" s="2"/>
      <c r="O416" s="5"/>
      <c r="P416" s="2"/>
      <c r="Q416" s="2"/>
    </row>
    <row r="417" spans="1:13">
      <c r="A417" s="7"/>
      <c r="B417" s="13"/>
      <c r="D417" s="5"/>
      <c r="E417" s="7"/>
      <c r="F417" s="14"/>
      <c r="I417" s="72"/>
      <c r="J417" s="103"/>
      <c r="K417" s="100"/>
      <c r="L417" s="101"/>
      <c r="M417" s="6"/>
    </row>
    <row r="418" spans="1:13">
      <c r="B418" s="13"/>
      <c r="D418" s="5"/>
      <c r="E418" s="7"/>
      <c r="F418" s="14"/>
      <c r="I418" s="72"/>
      <c r="J418" s="103"/>
      <c r="K418" s="100"/>
      <c r="L418" s="101"/>
      <c r="M418" s="6"/>
    </row>
    <row r="419" spans="1:13">
      <c r="B419" s="4"/>
      <c r="D419" s="5"/>
      <c r="E419" s="7"/>
      <c r="F419" s="14"/>
      <c r="I419" s="72"/>
      <c r="J419" s="103"/>
      <c r="K419" s="100"/>
      <c r="L419" s="101"/>
      <c r="M419" s="6"/>
    </row>
    <row r="420" spans="1:13">
      <c r="B420" s="13"/>
      <c r="D420" s="5"/>
      <c r="E420" s="7"/>
      <c r="F420" s="14"/>
      <c r="I420" s="72"/>
      <c r="J420" s="103"/>
      <c r="K420" s="100"/>
      <c r="L420" s="101"/>
      <c r="M420" s="6"/>
    </row>
    <row r="421" spans="1:13">
      <c r="B421" s="13"/>
      <c r="D421" s="5"/>
      <c r="F421" s="14"/>
      <c r="I421" s="72"/>
      <c r="J421" s="103"/>
      <c r="K421" s="100"/>
      <c r="L421" s="101"/>
      <c r="M421" s="6"/>
    </row>
    <row r="422" spans="1:13">
      <c r="B422" s="13"/>
      <c r="D422" s="5"/>
      <c r="F422" s="14"/>
      <c r="I422" s="72"/>
      <c r="J422" s="103"/>
      <c r="K422" s="100"/>
      <c r="L422" s="101"/>
      <c r="M422" s="6"/>
    </row>
    <row r="423" spans="1:13">
      <c r="B423" s="13"/>
      <c r="D423" s="5"/>
      <c r="F423" s="14"/>
      <c r="I423" s="72"/>
      <c r="J423" s="103"/>
      <c r="K423" s="100"/>
      <c r="L423" s="101"/>
      <c r="M423" s="6"/>
    </row>
    <row r="424" spans="1:13">
      <c r="B424" s="13"/>
      <c r="D424" s="5"/>
      <c r="F424" s="14"/>
      <c r="I424" s="72"/>
      <c r="J424" s="103"/>
      <c r="K424" s="100"/>
      <c r="L424" s="101"/>
      <c r="M424" s="6"/>
    </row>
    <row r="425" spans="1:13">
      <c r="B425" s="13"/>
      <c r="D425" s="5"/>
      <c r="F425" s="14"/>
      <c r="I425" s="72"/>
      <c r="J425" s="103"/>
      <c r="K425" s="100"/>
      <c r="L425" s="101"/>
      <c r="M425" s="6"/>
    </row>
    <row r="426" spans="1:13">
      <c r="B426" s="13"/>
      <c r="D426" s="5"/>
      <c r="F426" s="14"/>
      <c r="I426" s="72"/>
      <c r="J426" s="103"/>
      <c r="K426" s="100"/>
      <c r="L426" s="101"/>
      <c r="M426" s="6"/>
    </row>
    <row r="427" spans="1:13">
      <c r="B427" s="13"/>
      <c r="D427" s="5"/>
      <c r="F427" s="14"/>
      <c r="I427" s="72"/>
      <c r="J427" s="103"/>
      <c r="K427" s="100"/>
      <c r="L427" s="101"/>
      <c r="M427" s="6"/>
    </row>
    <row r="428" spans="1:13">
      <c r="B428" s="13"/>
      <c r="D428" s="5"/>
      <c r="F428" s="14"/>
      <c r="I428" s="72"/>
      <c r="J428" s="103"/>
      <c r="K428" s="100"/>
      <c r="L428" s="101"/>
      <c r="M428" s="6"/>
    </row>
    <row r="429" spans="1:13">
      <c r="B429" s="4"/>
      <c r="D429" s="5"/>
      <c r="E429" s="7"/>
      <c r="F429" s="14"/>
      <c r="I429" s="72"/>
      <c r="J429" s="103"/>
      <c r="K429" s="100"/>
      <c r="L429" s="101"/>
      <c r="M429" s="6"/>
    </row>
    <row r="430" spans="1:13">
      <c r="B430" s="4"/>
      <c r="D430" s="5"/>
      <c r="F430" s="14"/>
      <c r="I430" s="72"/>
      <c r="J430" s="103"/>
      <c r="K430" s="100"/>
      <c r="L430" s="101"/>
      <c r="M430" s="6"/>
    </row>
    <row r="431" spans="1:13">
      <c r="B431" s="4"/>
      <c r="D431" s="5"/>
      <c r="F431" s="14"/>
      <c r="I431" s="72"/>
      <c r="J431" s="103"/>
      <c r="K431" s="100"/>
      <c r="L431" s="101"/>
      <c r="M431" s="6"/>
    </row>
    <row r="432" spans="1:13">
      <c r="B432" s="13"/>
      <c r="D432" s="5"/>
      <c r="F432" s="14"/>
      <c r="I432" s="72"/>
      <c r="J432" s="103"/>
      <c r="K432" s="100"/>
      <c r="L432" s="101"/>
      <c r="M432" s="6"/>
    </row>
    <row r="433" spans="1:13">
      <c r="B433" s="4"/>
      <c r="D433" s="5"/>
      <c r="F433" s="14"/>
      <c r="I433" s="72"/>
      <c r="J433" s="103"/>
      <c r="K433" s="100"/>
      <c r="L433" s="101"/>
      <c r="M433" s="6"/>
    </row>
    <row r="434" spans="1:13">
      <c r="B434" s="4"/>
      <c r="D434" s="5"/>
      <c r="F434" s="14"/>
      <c r="I434" s="72"/>
      <c r="J434" s="103"/>
      <c r="K434" s="100"/>
      <c r="L434" s="101"/>
      <c r="M434" s="6"/>
    </row>
    <row r="435" spans="1:13">
      <c r="B435" s="13"/>
      <c r="D435" s="5"/>
      <c r="F435" s="14"/>
      <c r="I435" s="72"/>
      <c r="J435" s="103"/>
      <c r="K435" s="100"/>
      <c r="L435" s="101"/>
      <c r="M435" s="6"/>
    </row>
    <row r="436" spans="1:13">
      <c r="B436" s="13"/>
      <c r="D436" s="5"/>
      <c r="F436" s="14"/>
      <c r="I436" s="72"/>
      <c r="J436" s="103"/>
      <c r="K436" s="100"/>
      <c r="L436" s="101"/>
      <c r="M436" s="6"/>
    </row>
    <row r="437" spans="1:13">
      <c r="B437" s="13"/>
      <c r="D437" s="5"/>
      <c r="F437" s="14"/>
      <c r="I437" s="72"/>
      <c r="J437" s="103"/>
      <c r="K437" s="100"/>
      <c r="L437" s="101"/>
      <c r="M437" s="6"/>
    </row>
    <row r="438" spans="1:13">
      <c r="B438" s="11"/>
      <c r="D438" s="5"/>
      <c r="F438" s="14"/>
      <c r="I438" s="72"/>
      <c r="J438" s="103"/>
      <c r="K438" s="100"/>
      <c r="L438" s="101"/>
      <c r="M438" s="6"/>
    </row>
    <row r="439" spans="1:13">
      <c r="B439" s="13"/>
      <c r="D439" s="5"/>
      <c r="E439" s="7"/>
      <c r="F439" s="14"/>
      <c r="I439" s="72"/>
      <c r="J439" s="103"/>
      <c r="K439" s="100"/>
      <c r="L439" s="101"/>
      <c r="M439" s="6"/>
    </row>
    <row r="440" spans="1:13">
      <c r="B440" s="4"/>
      <c r="D440" s="5"/>
      <c r="F440" s="14"/>
      <c r="I440" s="72"/>
      <c r="J440" s="103"/>
      <c r="K440" s="100"/>
      <c r="L440" s="101"/>
      <c r="M440" s="6"/>
    </row>
    <row r="441" spans="1:13">
      <c r="B441" s="11"/>
      <c r="D441" s="5"/>
      <c r="F441" s="14"/>
      <c r="I441" s="72"/>
      <c r="J441" s="103"/>
      <c r="K441" s="100"/>
      <c r="L441" s="101"/>
      <c r="M441" s="6"/>
    </row>
    <row r="442" spans="1:13">
      <c r="B442" s="13"/>
      <c r="D442" s="5"/>
      <c r="F442" s="14"/>
      <c r="I442" s="72"/>
      <c r="J442" s="103"/>
      <c r="K442" s="100"/>
      <c r="L442" s="101"/>
      <c r="M442" s="6"/>
    </row>
    <row r="443" spans="1:13">
      <c r="B443" s="13"/>
      <c r="D443" s="5"/>
      <c r="F443" s="14"/>
      <c r="I443" s="72"/>
      <c r="J443" s="103"/>
      <c r="K443" s="100"/>
      <c r="L443" s="101"/>
      <c r="M443" s="6"/>
    </row>
    <row r="444" spans="1:13">
      <c r="B444" s="13"/>
      <c r="D444" s="5"/>
      <c r="F444" s="14"/>
      <c r="I444" s="72"/>
      <c r="J444" s="103"/>
      <c r="K444" s="100"/>
      <c r="L444" s="101"/>
      <c r="M444" s="6"/>
    </row>
    <row r="445" spans="1:13">
      <c r="B445" s="13"/>
      <c r="D445" s="5"/>
      <c r="F445" s="14"/>
      <c r="I445" s="72"/>
      <c r="J445" s="103"/>
      <c r="K445" s="100"/>
      <c r="L445" s="101"/>
      <c r="M445" s="6"/>
    </row>
    <row r="446" spans="1:13">
      <c r="B446" s="13"/>
      <c r="D446" s="5"/>
      <c r="F446" s="14"/>
      <c r="I446" s="72"/>
      <c r="J446" s="103"/>
      <c r="K446" s="100"/>
      <c r="L446" s="101"/>
      <c r="M446" s="6"/>
    </row>
    <row r="447" spans="1:13">
      <c r="B447" s="13"/>
      <c r="D447" s="5"/>
      <c r="F447" s="14"/>
      <c r="I447" s="72"/>
      <c r="J447" s="103"/>
      <c r="K447" s="100"/>
      <c r="L447" s="101"/>
      <c r="M447" s="6"/>
    </row>
    <row r="448" spans="1:13">
      <c r="A448" s="7"/>
      <c r="B448" s="13"/>
      <c r="D448" s="5"/>
      <c r="F448" s="14"/>
      <c r="I448" s="72"/>
      <c r="J448" s="103"/>
      <c r="K448" s="100"/>
      <c r="L448" s="101"/>
      <c r="M448" s="6"/>
    </row>
    <row r="449" spans="2:13">
      <c r="B449" s="13"/>
      <c r="D449" s="5"/>
      <c r="F449" s="14"/>
      <c r="I449" s="72"/>
      <c r="J449" s="103"/>
      <c r="K449" s="100"/>
      <c r="L449" s="101"/>
      <c r="M449" s="6"/>
    </row>
    <row r="450" spans="2:13">
      <c r="B450" s="13"/>
      <c r="D450" s="5"/>
      <c r="F450" s="14"/>
      <c r="I450" s="72"/>
      <c r="J450" s="103"/>
      <c r="K450" s="100"/>
      <c r="L450" s="101"/>
      <c r="M450" s="6"/>
    </row>
    <row r="451" spans="2:13">
      <c r="B451" s="13"/>
      <c r="D451" s="5"/>
      <c r="F451" s="14"/>
      <c r="I451" s="72"/>
      <c r="J451" s="103"/>
      <c r="K451" s="100"/>
      <c r="L451" s="101"/>
      <c r="M451" s="6"/>
    </row>
    <row r="452" spans="2:13">
      <c r="B452" s="13"/>
      <c r="D452" s="5"/>
      <c r="F452" s="14"/>
      <c r="I452" s="72"/>
      <c r="J452" s="103"/>
      <c r="K452" s="100"/>
      <c r="L452" s="101"/>
      <c r="M452" s="6"/>
    </row>
    <row r="453" spans="2:13">
      <c r="B453" s="13"/>
      <c r="D453" s="5"/>
      <c r="F453" s="14"/>
      <c r="I453" s="72"/>
      <c r="J453" s="103"/>
      <c r="K453" s="100"/>
      <c r="L453" s="101"/>
      <c r="M453" s="6"/>
    </row>
    <row r="454" spans="2:13">
      <c r="B454" s="4"/>
      <c r="D454" s="5"/>
      <c r="F454" s="14"/>
      <c r="I454" s="72"/>
      <c r="J454" s="103"/>
      <c r="K454" s="100"/>
      <c r="L454" s="101"/>
      <c r="M454" s="6"/>
    </row>
    <row r="455" spans="2:13">
      <c r="B455" s="13"/>
      <c r="D455" s="5"/>
      <c r="E455" s="7"/>
      <c r="F455" s="14"/>
      <c r="I455" s="72"/>
      <c r="J455" s="103"/>
      <c r="K455" s="100"/>
      <c r="L455" s="101"/>
      <c r="M455" s="6"/>
    </row>
    <row r="456" spans="2:13">
      <c r="B456" s="13"/>
      <c r="D456" s="5"/>
      <c r="F456" s="14"/>
      <c r="I456" s="72"/>
      <c r="J456" s="103"/>
      <c r="K456" s="100"/>
      <c r="L456" s="101"/>
      <c r="M456" s="6"/>
    </row>
    <row r="457" spans="2:13">
      <c r="B457" s="13"/>
      <c r="D457" s="5"/>
      <c r="F457" s="14"/>
      <c r="I457" s="72"/>
      <c r="J457" s="103"/>
      <c r="K457" s="100"/>
      <c r="L457" s="101"/>
      <c r="M457" s="6"/>
    </row>
    <row r="458" spans="2:13">
      <c r="B458" s="13"/>
      <c r="D458" s="5"/>
      <c r="F458" s="14"/>
      <c r="I458" s="72"/>
      <c r="J458" s="103"/>
      <c r="K458" s="100"/>
      <c r="L458" s="101"/>
      <c r="M458" s="6"/>
    </row>
    <row r="459" spans="2:13">
      <c r="B459" s="13"/>
      <c r="D459" s="5"/>
      <c r="F459" s="14"/>
      <c r="I459" s="72"/>
      <c r="J459" s="103"/>
      <c r="K459" s="100"/>
      <c r="L459" s="101"/>
      <c r="M459" s="6"/>
    </row>
    <row r="460" spans="2:13">
      <c r="B460" s="13"/>
      <c r="D460" s="5"/>
      <c r="F460" s="14"/>
      <c r="I460" s="72"/>
      <c r="J460" s="103"/>
      <c r="K460" s="100"/>
      <c r="L460" s="101"/>
      <c r="M460" s="6"/>
    </row>
    <row r="461" spans="2:13">
      <c r="B461" s="13"/>
      <c r="D461" s="5"/>
      <c r="F461" s="14"/>
      <c r="I461" s="72"/>
      <c r="J461" s="103"/>
      <c r="K461" s="100"/>
      <c r="L461" s="101"/>
      <c r="M461" s="6"/>
    </row>
    <row r="462" spans="2:13">
      <c r="B462" s="13"/>
      <c r="D462" s="5"/>
      <c r="F462" s="14"/>
      <c r="I462" s="72"/>
      <c r="J462" s="103"/>
      <c r="K462" s="100"/>
      <c r="L462" s="101"/>
      <c r="M462" s="6"/>
    </row>
    <row r="463" spans="2:13">
      <c r="B463" s="13"/>
      <c r="D463" s="5"/>
      <c r="F463" s="14"/>
      <c r="I463" s="72"/>
      <c r="J463" s="103"/>
      <c r="K463" s="100"/>
      <c r="L463" s="101"/>
      <c r="M463" s="6"/>
    </row>
    <row r="464" spans="2:13">
      <c r="B464" s="13"/>
      <c r="D464" s="5"/>
      <c r="F464" s="14"/>
      <c r="I464" s="72"/>
      <c r="J464" s="103"/>
      <c r="K464" s="100"/>
      <c r="L464" s="101"/>
      <c r="M464" s="6"/>
    </row>
    <row r="465" spans="2:13">
      <c r="B465" s="13"/>
      <c r="D465" s="5"/>
      <c r="E465" s="7"/>
      <c r="F465" s="14"/>
      <c r="I465" s="72"/>
      <c r="J465" s="103"/>
      <c r="K465" s="100"/>
      <c r="L465" s="101"/>
      <c r="M465" s="6"/>
    </row>
    <row r="466" spans="2:13">
      <c r="B466" s="13"/>
      <c r="D466" s="5"/>
      <c r="F466" s="14"/>
      <c r="I466" s="72"/>
      <c r="J466" s="103"/>
      <c r="K466" s="100"/>
      <c r="L466" s="101"/>
      <c r="M466" s="6"/>
    </row>
    <row r="467" spans="2:13">
      <c r="B467" s="13"/>
      <c r="D467" s="5"/>
      <c r="F467" s="14"/>
      <c r="I467" s="72"/>
      <c r="J467" s="103"/>
      <c r="K467" s="100"/>
      <c r="L467" s="101"/>
      <c r="M467" s="6"/>
    </row>
    <row r="468" spans="2:13">
      <c r="B468" s="13"/>
      <c r="D468" s="5"/>
      <c r="F468" s="14"/>
      <c r="I468" s="72"/>
      <c r="J468" s="103"/>
      <c r="K468" s="100"/>
      <c r="L468" s="101"/>
      <c r="M468" s="6"/>
    </row>
    <row r="469" spans="2:13">
      <c r="B469" s="13"/>
      <c r="D469" s="5"/>
      <c r="F469" s="14"/>
      <c r="I469" s="72"/>
      <c r="J469" s="103"/>
      <c r="K469" s="100"/>
      <c r="L469" s="101"/>
      <c r="M469" s="6"/>
    </row>
    <row r="470" spans="2:13">
      <c r="B470" s="13"/>
      <c r="D470" s="5"/>
      <c r="E470" s="7"/>
      <c r="F470" s="14"/>
      <c r="I470" s="72"/>
      <c r="J470" s="103"/>
      <c r="K470" s="100"/>
      <c r="L470" s="101"/>
      <c r="M470" s="6"/>
    </row>
    <row r="471" spans="2:13">
      <c r="B471" s="13"/>
      <c r="D471" s="5"/>
      <c r="F471" s="14"/>
      <c r="I471" s="72"/>
      <c r="J471" s="103"/>
      <c r="K471" s="100"/>
      <c r="L471" s="101"/>
      <c r="M471" s="6"/>
    </row>
    <row r="472" spans="2:13">
      <c r="B472" s="13"/>
      <c r="D472" s="5"/>
      <c r="F472" s="14"/>
      <c r="I472" s="72"/>
      <c r="J472" s="103"/>
      <c r="K472" s="100"/>
      <c r="L472" s="101"/>
      <c r="M472" s="6"/>
    </row>
    <row r="473" spans="2:13">
      <c r="B473" s="13"/>
      <c r="D473" s="5"/>
      <c r="F473" s="14"/>
      <c r="I473" s="72"/>
      <c r="J473" s="103"/>
      <c r="K473" s="100"/>
      <c r="L473" s="101"/>
      <c r="M473" s="6"/>
    </row>
    <row r="474" spans="2:13">
      <c r="B474" s="13"/>
      <c r="D474" s="5"/>
      <c r="F474" s="14"/>
      <c r="I474" s="72"/>
      <c r="J474" s="103"/>
      <c r="K474" s="100"/>
      <c r="L474" s="101"/>
      <c r="M474" s="6"/>
    </row>
    <row r="475" spans="2:13">
      <c r="B475" s="13"/>
      <c r="D475" s="5"/>
      <c r="F475" s="14"/>
      <c r="I475" s="72"/>
      <c r="J475" s="103"/>
      <c r="K475" s="100"/>
      <c r="L475" s="101"/>
      <c r="M475" s="6"/>
    </row>
    <row r="476" spans="2:13">
      <c r="B476" s="13"/>
      <c r="D476" s="5"/>
      <c r="F476" s="14"/>
      <c r="I476" s="72"/>
      <c r="J476" s="103"/>
      <c r="K476" s="100"/>
      <c r="L476" s="101"/>
      <c r="M476" s="6"/>
    </row>
    <row r="477" spans="2:13">
      <c r="B477" s="13"/>
      <c r="D477" s="5"/>
      <c r="F477" s="14"/>
      <c r="I477" s="72"/>
      <c r="J477" s="103"/>
      <c r="K477" s="100"/>
      <c r="L477" s="101"/>
      <c r="M477" s="6"/>
    </row>
    <row r="478" spans="2:13">
      <c r="B478" s="13"/>
      <c r="D478" s="5"/>
      <c r="F478" s="14"/>
      <c r="I478" s="72"/>
      <c r="J478" s="103"/>
      <c r="K478" s="100"/>
      <c r="L478" s="101"/>
      <c r="M478" s="6"/>
    </row>
    <row r="479" spans="2:13">
      <c r="B479" s="13"/>
      <c r="D479" s="5"/>
      <c r="F479" s="14"/>
      <c r="I479" s="72"/>
      <c r="J479" s="103"/>
      <c r="K479" s="100"/>
      <c r="L479" s="101"/>
      <c r="M479" s="6"/>
    </row>
    <row r="480" spans="2:13">
      <c r="B480" s="11"/>
      <c r="D480" s="5"/>
      <c r="F480" s="14"/>
      <c r="I480" s="72"/>
      <c r="J480" s="103"/>
      <c r="K480" s="100"/>
      <c r="L480" s="101"/>
      <c r="M480" s="6"/>
    </row>
    <row r="481" spans="1:13">
      <c r="B481" s="13"/>
      <c r="D481" s="5"/>
      <c r="E481" s="7"/>
      <c r="F481" s="14"/>
      <c r="I481" s="72"/>
      <c r="J481" s="103"/>
      <c r="K481" s="100"/>
      <c r="L481" s="101"/>
      <c r="M481" s="6"/>
    </row>
    <row r="482" spans="1:13">
      <c r="B482" s="4"/>
      <c r="D482" s="5"/>
      <c r="F482" s="14"/>
      <c r="I482" s="72"/>
      <c r="J482" s="103"/>
      <c r="K482" s="100"/>
      <c r="L482" s="101"/>
      <c r="M482" s="6"/>
    </row>
    <row r="483" spans="1:13">
      <c r="B483" s="13"/>
      <c r="D483" s="5"/>
      <c r="F483" s="14"/>
      <c r="I483" s="72"/>
      <c r="J483" s="103"/>
      <c r="K483" s="100"/>
      <c r="L483" s="101"/>
      <c r="M483" s="6"/>
    </row>
    <row r="484" spans="1:13">
      <c r="B484" s="4"/>
      <c r="D484" s="5"/>
      <c r="F484" s="14"/>
      <c r="I484" s="72"/>
      <c r="J484" s="103"/>
      <c r="K484" s="100"/>
      <c r="L484" s="101"/>
      <c r="M484" s="6"/>
    </row>
    <row r="485" spans="1:13">
      <c r="B485" s="4"/>
      <c r="D485" s="5"/>
      <c r="F485" s="14"/>
      <c r="I485" s="72"/>
      <c r="J485" s="103"/>
      <c r="K485" s="100"/>
      <c r="L485" s="101"/>
      <c r="M485" s="6"/>
    </row>
    <row r="486" spans="1:13">
      <c r="B486" s="4"/>
      <c r="D486" s="5"/>
      <c r="F486" s="14"/>
      <c r="I486" s="72"/>
      <c r="J486" s="103"/>
      <c r="K486" s="100"/>
      <c r="L486" s="101"/>
      <c r="M486" s="6"/>
    </row>
    <row r="487" spans="1:13">
      <c r="B487" s="4"/>
      <c r="D487" s="5"/>
      <c r="F487" s="14"/>
      <c r="I487" s="72"/>
      <c r="J487" s="103"/>
      <c r="K487" s="100"/>
      <c r="L487" s="101"/>
      <c r="M487" s="6"/>
    </row>
    <row r="488" spans="1:13">
      <c r="B488" s="13"/>
      <c r="D488" s="5"/>
      <c r="E488" s="7"/>
      <c r="F488" s="14"/>
      <c r="I488" s="72"/>
      <c r="J488" s="103"/>
      <c r="K488" s="100"/>
      <c r="L488" s="101"/>
      <c r="M488" s="6"/>
    </row>
    <row r="489" spans="1:13">
      <c r="B489" s="13"/>
      <c r="D489" s="5"/>
      <c r="F489" s="14"/>
      <c r="I489" s="72"/>
      <c r="J489" s="103"/>
      <c r="K489" s="100"/>
      <c r="L489" s="101"/>
      <c r="M489" s="6"/>
    </row>
    <row r="490" spans="1:13">
      <c r="B490" s="13"/>
      <c r="D490" s="5"/>
      <c r="F490" s="14"/>
      <c r="I490" s="72"/>
      <c r="J490" s="103"/>
      <c r="K490" s="100"/>
      <c r="L490" s="101"/>
      <c r="M490" s="6"/>
    </row>
    <row r="491" spans="1:13">
      <c r="B491" s="13"/>
      <c r="D491" s="5"/>
      <c r="F491" s="14"/>
      <c r="I491" s="72"/>
      <c r="J491" s="103"/>
      <c r="K491" s="100"/>
      <c r="L491" s="101"/>
      <c r="M491" s="6"/>
    </row>
    <row r="492" spans="1:13">
      <c r="B492" s="13"/>
      <c r="D492" s="5"/>
      <c r="F492" s="14"/>
      <c r="I492" s="72"/>
      <c r="J492" s="103"/>
      <c r="K492" s="100"/>
      <c r="L492" s="101"/>
      <c r="M492" s="6"/>
    </row>
    <row r="493" spans="1:13">
      <c r="B493" s="13"/>
      <c r="D493" s="5"/>
      <c r="F493" s="14"/>
      <c r="I493" s="72"/>
      <c r="J493" s="103"/>
      <c r="K493" s="100"/>
      <c r="L493" s="101"/>
      <c r="M493" s="6"/>
    </row>
    <row r="494" spans="1:13">
      <c r="B494" s="13"/>
      <c r="D494" s="5"/>
      <c r="F494" s="14"/>
      <c r="I494" s="72"/>
      <c r="J494" s="103"/>
      <c r="K494" s="100"/>
      <c r="L494" s="101"/>
      <c r="M494" s="6"/>
    </row>
    <row r="495" spans="1:13">
      <c r="B495" s="13"/>
      <c r="D495" s="5"/>
      <c r="F495" s="14"/>
      <c r="I495" s="72"/>
      <c r="J495" s="103"/>
      <c r="K495" s="100"/>
      <c r="L495" s="101"/>
      <c r="M495" s="6"/>
    </row>
    <row r="496" spans="1:13">
      <c r="A496" s="7"/>
      <c r="B496" s="13"/>
      <c r="D496" s="5"/>
      <c r="F496" s="14"/>
      <c r="I496" s="72"/>
      <c r="J496" s="103"/>
      <c r="K496" s="100"/>
      <c r="L496" s="101"/>
      <c r="M496" s="6"/>
    </row>
    <row r="497" spans="1:13">
      <c r="B497" s="13"/>
      <c r="D497" s="5"/>
      <c r="E497" s="7"/>
      <c r="F497" s="14"/>
      <c r="I497" s="72"/>
      <c r="J497" s="103"/>
      <c r="K497" s="100"/>
      <c r="L497" s="101"/>
      <c r="M497" s="6"/>
    </row>
    <row r="498" spans="1:13">
      <c r="B498" s="13"/>
      <c r="D498" s="5"/>
      <c r="F498" s="14"/>
      <c r="I498" s="72"/>
      <c r="J498" s="103"/>
      <c r="K498" s="100"/>
      <c r="L498" s="101"/>
      <c r="M498" s="6"/>
    </row>
    <row r="499" spans="1:13">
      <c r="B499" s="13"/>
      <c r="D499" s="5"/>
      <c r="F499" s="14"/>
      <c r="I499" s="72"/>
      <c r="J499" s="103"/>
      <c r="K499" s="100"/>
      <c r="L499" s="101"/>
      <c r="M499" s="6"/>
    </row>
    <row r="500" spans="1:13">
      <c r="B500" s="13"/>
      <c r="D500" s="5"/>
      <c r="F500" s="14"/>
      <c r="I500" s="72"/>
      <c r="J500" s="103"/>
      <c r="K500" s="100"/>
      <c r="L500" s="101"/>
      <c r="M500" s="6"/>
    </row>
    <row r="501" spans="1:13">
      <c r="B501" s="13"/>
      <c r="D501" s="5"/>
      <c r="F501" s="14"/>
      <c r="I501" s="72"/>
      <c r="J501" s="103"/>
      <c r="K501" s="100"/>
      <c r="L501" s="101"/>
      <c r="M501" s="6"/>
    </row>
    <row r="502" spans="1:13">
      <c r="A502" s="7"/>
      <c r="B502" s="13"/>
      <c r="D502" s="5"/>
      <c r="F502" s="14"/>
      <c r="I502" s="72"/>
      <c r="J502" s="103"/>
      <c r="K502" s="100"/>
      <c r="L502" s="101"/>
      <c r="M502" s="6"/>
    </row>
    <row r="503" spans="1:13">
      <c r="B503" s="13"/>
      <c r="D503" s="5"/>
      <c r="F503" s="14"/>
      <c r="I503" s="72"/>
      <c r="J503" s="103"/>
      <c r="K503" s="100"/>
      <c r="L503" s="101"/>
      <c r="M503" s="6"/>
    </row>
    <row r="504" spans="1:13">
      <c r="B504" s="13"/>
      <c r="D504" s="5"/>
      <c r="F504" s="14"/>
      <c r="I504" s="72"/>
      <c r="J504" s="103"/>
      <c r="K504" s="100"/>
      <c r="L504" s="101"/>
      <c r="M504" s="6"/>
    </row>
    <row r="505" spans="1:13">
      <c r="B505" s="13"/>
      <c r="D505" s="5"/>
      <c r="F505" s="14"/>
      <c r="I505" s="72"/>
      <c r="J505" s="103"/>
      <c r="K505" s="100"/>
      <c r="L505" s="101"/>
      <c r="M505" s="6"/>
    </row>
    <row r="506" spans="1:13">
      <c r="B506" s="13"/>
      <c r="D506" s="5"/>
      <c r="F506" s="14"/>
      <c r="I506" s="72"/>
      <c r="J506" s="103"/>
      <c r="K506" s="100"/>
      <c r="L506" s="101"/>
      <c r="M506" s="6"/>
    </row>
    <row r="507" spans="1:13">
      <c r="B507" s="13"/>
      <c r="D507" s="5"/>
      <c r="F507" s="14"/>
      <c r="I507" s="72"/>
      <c r="J507" s="103"/>
      <c r="K507" s="100"/>
      <c r="L507" s="101"/>
      <c r="M507" s="6"/>
    </row>
    <row r="508" spans="1:13">
      <c r="B508" s="13"/>
      <c r="D508" s="5"/>
      <c r="F508" s="14"/>
      <c r="I508" s="72"/>
      <c r="J508" s="103"/>
      <c r="K508" s="100"/>
      <c r="L508" s="101"/>
      <c r="M508" s="6"/>
    </row>
    <row r="509" spans="1:13">
      <c r="B509" s="13"/>
      <c r="D509" s="5"/>
      <c r="F509" s="14"/>
      <c r="I509" s="72"/>
      <c r="J509" s="103"/>
      <c r="K509" s="100"/>
      <c r="L509" s="101"/>
      <c r="M509" s="6"/>
    </row>
    <row r="510" spans="1:13">
      <c r="B510" s="13"/>
      <c r="D510" s="5"/>
      <c r="F510" s="14"/>
      <c r="I510" s="72"/>
      <c r="J510" s="103"/>
      <c r="K510" s="100"/>
      <c r="L510" s="101"/>
      <c r="M510" s="6"/>
    </row>
    <row r="511" spans="1:13">
      <c r="B511" s="13"/>
      <c r="D511" s="5"/>
      <c r="F511" s="14"/>
      <c r="I511" s="72"/>
      <c r="J511" s="103"/>
      <c r="K511" s="100"/>
      <c r="L511" s="101"/>
      <c r="M511" s="6"/>
    </row>
    <row r="512" spans="1:13">
      <c r="B512" s="13"/>
      <c r="D512" s="5"/>
      <c r="F512" s="14"/>
      <c r="I512" s="72"/>
      <c r="J512" s="103"/>
      <c r="K512" s="100"/>
      <c r="L512" s="101"/>
      <c r="M512" s="6"/>
    </row>
    <row r="513" spans="2:13">
      <c r="B513" s="13"/>
      <c r="D513" s="5"/>
      <c r="F513" s="14"/>
      <c r="I513" s="72"/>
      <c r="J513" s="103"/>
      <c r="K513" s="100"/>
      <c r="L513" s="101"/>
      <c r="M513" s="6"/>
    </row>
    <row r="514" spans="2:13">
      <c r="B514" s="13"/>
      <c r="D514" s="5"/>
      <c r="F514" s="14"/>
      <c r="I514" s="72"/>
      <c r="J514" s="103"/>
      <c r="K514" s="100"/>
      <c r="L514" s="101"/>
      <c r="M514" s="6"/>
    </row>
    <row r="515" spans="2:13">
      <c r="B515" s="13"/>
      <c r="D515" s="5"/>
      <c r="F515" s="14"/>
      <c r="I515" s="72"/>
      <c r="J515" s="103"/>
      <c r="K515" s="100"/>
      <c r="L515" s="101"/>
      <c r="M515" s="6"/>
    </row>
    <row r="516" spans="2:13">
      <c r="B516" s="13"/>
      <c r="D516" s="5"/>
      <c r="F516" s="14"/>
      <c r="I516" s="72"/>
      <c r="J516" s="103"/>
      <c r="K516" s="100"/>
      <c r="L516" s="101"/>
      <c r="M516" s="6"/>
    </row>
    <row r="517" spans="2:13">
      <c r="B517" s="13"/>
      <c r="D517" s="5"/>
      <c r="F517" s="14"/>
      <c r="I517" s="72"/>
      <c r="J517" s="103"/>
      <c r="K517" s="100"/>
      <c r="L517" s="101"/>
      <c r="M517" s="6"/>
    </row>
    <row r="518" spans="2:13">
      <c r="B518" s="13"/>
      <c r="D518" s="5"/>
      <c r="F518" s="14"/>
      <c r="I518" s="72"/>
      <c r="J518" s="103"/>
      <c r="K518" s="100"/>
      <c r="L518" s="101"/>
      <c r="M518" s="6"/>
    </row>
    <row r="519" spans="2:13">
      <c r="B519" s="13"/>
      <c r="D519" s="5"/>
      <c r="F519" s="14"/>
      <c r="I519" s="72"/>
      <c r="J519" s="103"/>
      <c r="K519" s="100"/>
      <c r="L519" s="101"/>
      <c r="M519" s="6"/>
    </row>
    <row r="520" spans="2:13">
      <c r="B520" s="13"/>
      <c r="D520" s="5"/>
      <c r="F520" s="14"/>
      <c r="I520" s="72"/>
      <c r="J520" s="103"/>
      <c r="K520" s="100"/>
      <c r="L520" s="101"/>
      <c r="M520" s="6"/>
    </row>
    <row r="521" spans="2:13">
      <c r="B521" s="13"/>
      <c r="D521" s="5"/>
      <c r="F521" s="14"/>
      <c r="I521" s="72"/>
      <c r="J521" s="103"/>
      <c r="K521" s="100"/>
      <c r="L521" s="101"/>
      <c r="M521" s="6"/>
    </row>
    <row r="522" spans="2:13">
      <c r="B522" s="13"/>
      <c r="D522" s="5"/>
      <c r="F522" s="14"/>
      <c r="I522" s="72"/>
      <c r="J522" s="103"/>
      <c r="K522" s="100"/>
      <c r="L522" s="101"/>
      <c r="M522" s="6"/>
    </row>
    <row r="523" spans="2:13">
      <c r="B523" s="13"/>
      <c r="D523" s="5"/>
      <c r="F523" s="14"/>
      <c r="I523" s="72"/>
      <c r="J523" s="103"/>
      <c r="K523" s="100"/>
      <c r="L523" s="101"/>
      <c r="M523" s="6"/>
    </row>
    <row r="524" spans="2:13">
      <c r="B524" s="13"/>
      <c r="D524" s="5"/>
      <c r="F524" s="14"/>
      <c r="I524" s="72"/>
      <c r="J524" s="103"/>
      <c r="K524" s="100"/>
      <c r="L524" s="101"/>
      <c r="M524" s="6"/>
    </row>
    <row r="525" spans="2:13">
      <c r="B525" s="13"/>
      <c r="D525" s="5"/>
      <c r="F525" s="14"/>
      <c r="I525" s="72"/>
      <c r="J525" s="103"/>
      <c r="K525" s="100"/>
      <c r="L525" s="101"/>
      <c r="M525" s="6"/>
    </row>
    <row r="526" spans="2:13">
      <c r="B526" s="13"/>
      <c r="D526" s="5"/>
      <c r="F526" s="14"/>
      <c r="I526" s="72"/>
      <c r="J526" s="103"/>
      <c r="K526" s="100"/>
      <c r="L526" s="101"/>
      <c r="M526" s="6"/>
    </row>
    <row r="527" spans="2:13">
      <c r="B527" s="13"/>
      <c r="D527" s="5"/>
      <c r="F527" s="14"/>
      <c r="I527" s="72"/>
      <c r="J527" s="103"/>
      <c r="K527" s="100"/>
      <c r="L527" s="101"/>
      <c r="M527" s="6"/>
    </row>
    <row r="528" spans="2:13">
      <c r="B528" s="13"/>
      <c r="D528" s="5"/>
      <c r="F528" s="14"/>
      <c r="I528" s="72"/>
      <c r="J528" s="103"/>
      <c r="K528" s="100"/>
      <c r="L528" s="101"/>
      <c r="M528" s="6"/>
    </row>
    <row r="529" spans="2:13">
      <c r="B529" s="13"/>
      <c r="D529" s="5"/>
      <c r="F529" s="14"/>
      <c r="I529" s="72"/>
      <c r="J529" s="103"/>
      <c r="K529" s="100"/>
      <c r="L529" s="101"/>
      <c r="M529" s="6"/>
    </row>
    <row r="530" spans="2:13">
      <c r="B530" s="13"/>
      <c r="D530" s="5"/>
      <c r="F530" s="14"/>
      <c r="I530" s="72"/>
      <c r="J530" s="103"/>
      <c r="K530" s="100"/>
      <c r="L530" s="101"/>
      <c r="M530" s="6"/>
    </row>
    <row r="531" spans="2:13">
      <c r="B531" s="13"/>
      <c r="D531" s="5"/>
      <c r="F531" s="14"/>
      <c r="I531" s="72"/>
      <c r="J531" s="103"/>
      <c r="K531" s="100"/>
      <c r="L531" s="101"/>
      <c r="M531" s="6"/>
    </row>
    <row r="532" spans="2:13">
      <c r="B532" s="4"/>
      <c r="D532" s="5"/>
      <c r="F532" s="14"/>
      <c r="I532" s="72"/>
      <c r="J532" s="103"/>
      <c r="K532" s="100"/>
      <c r="L532" s="101"/>
      <c r="M532" s="6"/>
    </row>
    <row r="533" spans="2:13">
      <c r="B533" s="13"/>
      <c r="D533" s="5"/>
      <c r="F533" s="14"/>
      <c r="I533" s="72"/>
      <c r="J533" s="103"/>
      <c r="K533" s="100"/>
      <c r="L533" s="101"/>
      <c r="M533" s="6"/>
    </row>
    <row r="534" spans="2:13">
      <c r="B534" s="13"/>
      <c r="D534" s="5"/>
      <c r="F534" s="14"/>
      <c r="I534" s="72"/>
      <c r="J534" s="103"/>
      <c r="K534" s="100"/>
      <c r="L534" s="101"/>
      <c r="M534" s="6"/>
    </row>
    <row r="535" spans="2:13">
      <c r="B535" s="13"/>
      <c r="D535" s="5"/>
      <c r="F535" s="14"/>
      <c r="I535" s="72"/>
      <c r="J535" s="103"/>
      <c r="K535" s="100"/>
      <c r="L535" s="101"/>
      <c r="M535" s="6"/>
    </row>
    <row r="536" spans="2:13">
      <c r="B536" s="13"/>
      <c r="D536" s="5"/>
      <c r="F536" s="14"/>
      <c r="I536" s="72"/>
      <c r="J536" s="103"/>
      <c r="K536" s="100"/>
      <c r="L536" s="101"/>
      <c r="M536" s="6"/>
    </row>
    <row r="537" spans="2:13">
      <c r="B537" s="13"/>
      <c r="D537" s="5"/>
      <c r="F537" s="14"/>
      <c r="I537" s="72"/>
      <c r="J537" s="103"/>
      <c r="K537" s="100"/>
      <c r="L537" s="101"/>
      <c r="M537" s="6"/>
    </row>
    <row r="538" spans="2:13">
      <c r="B538" s="13"/>
      <c r="D538" s="5"/>
      <c r="F538" s="14"/>
      <c r="I538" s="72"/>
      <c r="J538" s="103"/>
      <c r="K538" s="100"/>
      <c r="L538" s="101"/>
      <c r="M538" s="6"/>
    </row>
    <row r="539" spans="2:13">
      <c r="B539" s="13"/>
      <c r="D539" s="5"/>
      <c r="F539" s="14"/>
      <c r="I539" s="72"/>
      <c r="J539" s="103"/>
      <c r="K539" s="100"/>
      <c r="L539" s="101"/>
      <c r="M539" s="6"/>
    </row>
    <row r="540" spans="2:13">
      <c r="B540" s="13"/>
      <c r="D540" s="5"/>
      <c r="F540" s="14"/>
      <c r="I540" s="72"/>
      <c r="J540" s="103"/>
      <c r="K540" s="100"/>
      <c r="L540" s="101"/>
      <c r="M540" s="6"/>
    </row>
    <row r="541" spans="2:13">
      <c r="B541" s="13"/>
      <c r="D541" s="5"/>
      <c r="F541" s="14"/>
      <c r="I541" s="72"/>
      <c r="J541" s="103"/>
      <c r="K541" s="100"/>
      <c r="L541" s="101"/>
      <c r="M541" s="6"/>
    </row>
    <row r="542" spans="2:13">
      <c r="B542" s="4"/>
      <c r="D542" s="5"/>
      <c r="F542" s="14"/>
      <c r="I542" s="72"/>
      <c r="J542" s="103"/>
      <c r="K542" s="100"/>
      <c r="L542" s="101"/>
      <c r="M542" s="6"/>
    </row>
    <row r="543" spans="2:13">
      <c r="B543" s="4"/>
      <c r="D543" s="5"/>
      <c r="F543" s="14"/>
      <c r="I543" s="72"/>
      <c r="J543" s="103"/>
      <c r="K543" s="100"/>
      <c r="L543" s="101"/>
      <c r="M543" s="6"/>
    </row>
    <row r="544" spans="2:13">
      <c r="B544" s="13"/>
      <c r="D544" s="5"/>
      <c r="F544" s="14"/>
      <c r="I544" s="72"/>
      <c r="J544" s="103"/>
      <c r="K544" s="100"/>
      <c r="L544" s="101"/>
      <c r="M544" s="6"/>
    </row>
    <row r="545" spans="1:13">
      <c r="B545" s="13"/>
      <c r="D545" s="5"/>
      <c r="F545" s="14"/>
      <c r="I545" s="72"/>
      <c r="J545" s="103"/>
      <c r="K545" s="100"/>
      <c r="L545" s="101"/>
      <c r="M545" s="6"/>
    </row>
    <row r="546" spans="1:13">
      <c r="B546" s="4"/>
      <c r="D546" s="5"/>
      <c r="F546" s="14"/>
      <c r="I546" s="72"/>
      <c r="J546" s="103"/>
      <c r="K546" s="100"/>
      <c r="L546" s="101"/>
      <c r="M546" s="6"/>
    </row>
    <row r="547" spans="1:13">
      <c r="B547" s="4"/>
      <c r="D547" s="5"/>
      <c r="F547" s="14"/>
      <c r="I547" s="72"/>
      <c r="J547" s="103"/>
      <c r="K547" s="100"/>
      <c r="L547" s="101"/>
      <c r="M547" s="6"/>
    </row>
    <row r="548" spans="1:13">
      <c r="B548" s="4"/>
      <c r="D548" s="5"/>
      <c r="F548" s="14"/>
      <c r="I548" s="72"/>
      <c r="J548" s="103"/>
      <c r="K548" s="100"/>
      <c r="L548" s="101"/>
      <c r="M548" s="6"/>
    </row>
    <row r="549" spans="1:13">
      <c r="B549" s="4"/>
      <c r="D549" s="5"/>
      <c r="F549" s="14"/>
      <c r="I549" s="72"/>
      <c r="J549" s="103"/>
      <c r="K549" s="100"/>
      <c r="L549" s="101"/>
      <c r="M549" s="6"/>
    </row>
    <row r="550" spans="1:13">
      <c r="A550" s="7"/>
      <c r="B550" s="4"/>
      <c r="D550" s="5"/>
      <c r="F550" s="14"/>
      <c r="I550" s="72"/>
      <c r="J550" s="103"/>
      <c r="K550" s="100"/>
      <c r="L550" s="101"/>
      <c r="M550" s="6"/>
    </row>
    <row r="551" spans="1:13">
      <c r="B551" s="4"/>
      <c r="D551" s="5"/>
      <c r="F551" s="14"/>
      <c r="I551" s="72"/>
      <c r="J551" s="103"/>
      <c r="K551" s="100"/>
      <c r="L551" s="101"/>
      <c r="M551" s="6"/>
    </row>
    <row r="552" spans="1:13">
      <c r="A552" s="7"/>
      <c r="B552" s="4"/>
      <c r="D552" s="5"/>
      <c r="F552" s="14"/>
      <c r="I552" s="72"/>
      <c r="J552" s="103"/>
      <c r="K552" s="100"/>
      <c r="L552" s="101"/>
      <c r="M552" s="6"/>
    </row>
    <row r="553" spans="1:13">
      <c r="B553" s="13"/>
      <c r="D553" s="5"/>
      <c r="F553" s="14"/>
      <c r="I553" s="72"/>
      <c r="J553" s="103"/>
      <c r="K553" s="100"/>
      <c r="L553" s="101"/>
      <c r="M553" s="6"/>
    </row>
    <row r="554" spans="1:13">
      <c r="B554" s="13"/>
      <c r="D554" s="5"/>
      <c r="F554" s="14"/>
      <c r="I554" s="72"/>
      <c r="J554" s="103"/>
      <c r="K554" s="100"/>
      <c r="L554" s="101"/>
      <c r="M554" s="6"/>
    </row>
    <row r="555" spans="1:13">
      <c r="B555" s="13"/>
      <c r="D555" s="5"/>
      <c r="F555" s="14"/>
      <c r="I555" s="72"/>
      <c r="J555" s="103"/>
      <c r="K555" s="100"/>
      <c r="L555" s="101"/>
      <c r="M555" s="6"/>
    </row>
    <row r="556" spans="1:13">
      <c r="B556" s="13"/>
      <c r="D556" s="5"/>
      <c r="F556" s="14"/>
      <c r="I556" s="72"/>
      <c r="J556" s="103"/>
      <c r="K556" s="100"/>
      <c r="L556" s="101"/>
      <c r="M556" s="6"/>
    </row>
    <row r="557" spans="1:13">
      <c r="B557" s="4"/>
      <c r="D557" s="5"/>
      <c r="F557" s="14"/>
      <c r="I557" s="72"/>
      <c r="J557" s="103"/>
      <c r="K557" s="100"/>
      <c r="L557" s="101"/>
      <c r="M557" s="6"/>
    </row>
    <row r="558" spans="1:13">
      <c r="B558" s="4"/>
      <c r="D558" s="5"/>
      <c r="F558" s="14"/>
      <c r="I558" s="72"/>
      <c r="J558" s="103"/>
      <c r="K558" s="100"/>
      <c r="L558" s="101"/>
      <c r="M558" s="6"/>
    </row>
    <row r="559" spans="1:13">
      <c r="A559" s="7"/>
      <c r="B559" s="13"/>
      <c r="D559" s="5"/>
      <c r="F559" s="14"/>
      <c r="I559" s="72"/>
      <c r="J559" s="103"/>
      <c r="K559" s="100"/>
      <c r="L559" s="101"/>
      <c r="M559" s="6"/>
    </row>
    <row r="560" spans="1:13">
      <c r="B560" s="4"/>
      <c r="D560" s="5"/>
      <c r="F560" s="14"/>
      <c r="I560" s="72"/>
      <c r="J560" s="103"/>
      <c r="K560" s="100"/>
      <c r="L560" s="101"/>
      <c r="M560" s="6"/>
    </row>
    <row r="561" spans="1:17">
      <c r="B561" s="4"/>
      <c r="D561" s="5"/>
      <c r="F561" s="14"/>
      <c r="I561" s="72"/>
      <c r="J561" s="103"/>
      <c r="K561" s="100"/>
      <c r="L561" s="101"/>
      <c r="M561" s="6"/>
    </row>
    <row r="562" spans="1:17">
      <c r="B562" s="13"/>
      <c r="D562" s="5"/>
      <c r="F562" s="14"/>
      <c r="I562" s="72"/>
      <c r="J562" s="103"/>
      <c r="K562" s="100"/>
      <c r="L562" s="101"/>
      <c r="M562" s="6"/>
    </row>
    <row r="563" spans="1:17">
      <c r="B563" s="4"/>
      <c r="D563" s="5"/>
      <c r="F563" s="14"/>
      <c r="I563" s="72"/>
      <c r="J563" s="103"/>
      <c r="K563" s="100"/>
      <c r="L563" s="101"/>
      <c r="M563" s="6"/>
    </row>
    <row r="564" spans="1:17">
      <c r="A564" s="7"/>
      <c r="B564" s="4"/>
      <c r="D564" s="5"/>
      <c r="F564" s="14"/>
      <c r="I564" s="72"/>
      <c r="J564" s="103"/>
      <c r="K564" s="100"/>
      <c r="L564" s="101"/>
      <c r="M564" s="6"/>
    </row>
    <row r="565" spans="1:17">
      <c r="B565" s="4"/>
      <c r="D565" s="5"/>
      <c r="F565" s="14"/>
      <c r="I565" s="72"/>
      <c r="J565" s="103"/>
      <c r="K565" s="100"/>
      <c r="L565" s="101"/>
      <c r="M565" s="6"/>
    </row>
    <row r="566" spans="1:17">
      <c r="B566" s="4"/>
      <c r="D566" s="5"/>
      <c r="I566" s="72"/>
      <c r="J566" s="103"/>
      <c r="K566" s="100"/>
      <c r="L566" s="101"/>
      <c r="M566" s="6"/>
    </row>
    <row r="567" spans="1:17">
      <c r="A567" s="7"/>
      <c r="B567" s="4"/>
      <c r="D567" s="5"/>
      <c r="I567" s="72"/>
      <c r="J567" s="103"/>
      <c r="K567" s="100"/>
      <c r="L567" s="101"/>
      <c r="M567" s="6"/>
    </row>
    <row r="568" spans="1:17">
      <c r="A568" s="7"/>
      <c r="B568" s="4"/>
      <c r="D568" s="5"/>
      <c r="I568" s="72"/>
      <c r="J568" s="103"/>
      <c r="K568" s="100"/>
      <c r="L568" s="101"/>
      <c r="M568" s="6"/>
    </row>
    <row r="569" spans="1:17">
      <c r="A569" s="7"/>
      <c r="B569" s="4"/>
      <c r="D569" s="5"/>
      <c r="F569" s="14"/>
      <c r="I569" s="72"/>
      <c r="J569" s="103"/>
      <c r="K569" s="100"/>
      <c r="L569" s="101"/>
      <c r="M569" s="6"/>
      <c r="N569" s="2"/>
      <c r="O569" s="5"/>
      <c r="P569" s="2"/>
      <c r="Q569" s="2"/>
    </row>
    <row r="570" spans="1:17">
      <c r="A570" s="7"/>
      <c r="B570" s="13"/>
      <c r="D570" s="5"/>
      <c r="F570" s="14"/>
      <c r="I570" s="72"/>
      <c r="J570" s="103"/>
      <c r="K570" s="100"/>
      <c r="L570" s="101"/>
      <c r="M570" s="6"/>
      <c r="N570" s="2"/>
      <c r="O570" s="5"/>
      <c r="P570" s="5"/>
      <c r="Q570" s="2"/>
    </row>
    <row r="571" spans="1:17">
      <c r="A571" s="7"/>
      <c r="B571" s="4"/>
      <c r="D571" s="5"/>
      <c r="F571" s="14"/>
      <c r="I571" s="72"/>
      <c r="J571" s="103"/>
      <c r="K571" s="100"/>
      <c r="L571" s="101"/>
      <c r="M571" s="6"/>
      <c r="N571" s="2"/>
      <c r="O571" s="5"/>
      <c r="P571" s="5"/>
      <c r="Q571" s="2"/>
    </row>
    <row r="572" spans="1:17">
      <c r="A572" s="7"/>
      <c r="B572" s="4"/>
      <c r="D572" s="5"/>
      <c r="F572" s="14"/>
      <c r="I572" s="72"/>
      <c r="J572" s="103"/>
      <c r="K572" s="100"/>
      <c r="L572" s="101"/>
      <c r="M572" s="6"/>
      <c r="N572" s="2"/>
      <c r="O572" s="5"/>
      <c r="P572" s="5"/>
      <c r="Q572" s="2"/>
    </row>
    <row r="573" spans="1:17">
      <c r="B573" s="13"/>
      <c r="D573" s="5"/>
      <c r="F573" s="14"/>
      <c r="I573" s="72"/>
      <c r="J573" s="103"/>
      <c r="K573" s="100"/>
      <c r="L573" s="101"/>
      <c r="M573" s="6"/>
      <c r="N573" s="2"/>
      <c r="O573" s="5"/>
      <c r="P573" s="5"/>
      <c r="Q573" s="2"/>
    </row>
    <row r="574" spans="1:17">
      <c r="A574" s="7"/>
      <c r="B574" s="4"/>
      <c r="D574" s="5"/>
      <c r="F574" s="14"/>
      <c r="I574" s="72"/>
      <c r="J574" s="103"/>
      <c r="K574" s="100"/>
      <c r="L574" s="101"/>
      <c r="M574" s="6"/>
      <c r="N574" s="2"/>
      <c r="O574" s="5"/>
      <c r="P574" s="5"/>
      <c r="Q574" s="2"/>
    </row>
    <row r="575" spans="1:17">
      <c r="A575" s="7"/>
      <c r="B575" s="13"/>
      <c r="D575" s="5"/>
      <c r="F575" s="14"/>
      <c r="I575" s="72"/>
      <c r="J575" s="103"/>
      <c r="K575" s="100"/>
      <c r="L575" s="101"/>
      <c r="M575" s="6"/>
      <c r="O575" s="5"/>
      <c r="P575" s="43"/>
      <c r="Q575" s="2"/>
    </row>
    <row r="576" spans="1:17">
      <c r="A576" s="7"/>
      <c r="B576" s="13"/>
      <c r="D576" s="5"/>
      <c r="F576" s="14"/>
      <c r="I576" s="72"/>
      <c r="J576" s="103"/>
      <c r="K576" s="100"/>
      <c r="L576" s="101"/>
      <c r="M576" s="6"/>
      <c r="O576" s="5"/>
      <c r="P576" s="43"/>
      <c r="Q576" s="2"/>
    </row>
    <row r="577" spans="1:17">
      <c r="A577" s="7"/>
      <c r="B577" s="13"/>
      <c r="D577" s="5"/>
      <c r="F577" s="14"/>
      <c r="I577" s="72"/>
      <c r="J577" s="103"/>
      <c r="K577" s="100"/>
      <c r="L577" s="101"/>
      <c r="M577" s="6"/>
      <c r="O577" s="5"/>
      <c r="P577" s="43"/>
      <c r="Q577" s="2"/>
    </row>
    <row r="578" spans="1:17">
      <c r="A578" s="7"/>
      <c r="B578" s="13"/>
      <c r="D578" s="5"/>
      <c r="F578" s="14"/>
      <c r="I578" s="72"/>
      <c r="J578" s="103"/>
      <c r="K578" s="100"/>
      <c r="L578" s="101"/>
      <c r="M578" s="6"/>
      <c r="O578" s="5"/>
      <c r="P578" s="43"/>
      <c r="Q578" s="2"/>
    </row>
    <row r="579" spans="1:17">
      <c r="B579" s="13"/>
      <c r="D579" s="5"/>
      <c r="F579" s="14"/>
      <c r="I579" s="72"/>
      <c r="J579" s="103"/>
      <c r="K579" s="100"/>
      <c r="L579" s="101"/>
      <c r="M579" s="6"/>
      <c r="O579" s="5"/>
      <c r="P579" s="43"/>
      <c r="Q579" s="2"/>
    </row>
    <row r="580" spans="1:17">
      <c r="B580" s="13"/>
      <c r="D580" s="5"/>
      <c r="F580" s="14"/>
      <c r="I580" s="72"/>
      <c r="J580" s="103"/>
      <c r="K580" s="100"/>
      <c r="L580" s="101"/>
      <c r="M580" s="6"/>
      <c r="O580" s="5"/>
      <c r="P580" s="43"/>
      <c r="Q580" s="2"/>
    </row>
    <row r="581" spans="1:17">
      <c r="B581" s="11"/>
      <c r="D581" s="5"/>
      <c r="F581" s="14"/>
      <c r="I581" s="72"/>
      <c r="J581" s="103"/>
      <c r="K581" s="100"/>
      <c r="L581" s="101"/>
      <c r="M581" s="6"/>
      <c r="O581" s="5"/>
      <c r="P581" s="43"/>
      <c r="Q581" s="2"/>
    </row>
    <row r="582" spans="1:17">
      <c r="B582" s="13"/>
      <c r="D582" s="5"/>
      <c r="F582" s="14"/>
      <c r="I582" s="72"/>
      <c r="J582" s="103"/>
      <c r="K582" s="100"/>
      <c r="L582" s="101"/>
      <c r="M582" s="6"/>
      <c r="O582" s="5"/>
      <c r="P582" s="43"/>
      <c r="Q582" s="2"/>
    </row>
    <row r="583" spans="1:17">
      <c r="B583" s="4"/>
      <c r="D583" s="5"/>
      <c r="F583" s="14"/>
      <c r="I583" s="72"/>
      <c r="J583" s="103"/>
      <c r="K583" s="100"/>
      <c r="L583" s="101"/>
      <c r="M583" s="6"/>
      <c r="O583" s="5"/>
      <c r="P583" s="5"/>
      <c r="Q583" s="2"/>
    </row>
    <row r="584" spans="1:17">
      <c r="B584" s="13"/>
      <c r="D584" s="5"/>
      <c r="F584" s="14"/>
      <c r="I584" s="72"/>
      <c r="J584" s="103"/>
      <c r="K584" s="100"/>
      <c r="L584" s="101"/>
      <c r="M584" s="6"/>
      <c r="O584" s="5"/>
      <c r="P584" s="5"/>
      <c r="Q584" s="2"/>
    </row>
    <row r="585" spans="1:17">
      <c r="B585" s="13"/>
      <c r="D585" s="5"/>
      <c r="F585" s="14"/>
      <c r="I585" s="72"/>
      <c r="J585" s="103"/>
      <c r="K585" s="100"/>
      <c r="L585" s="101"/>
      <c r="M585" s="6"/>
      <c r="N585" s="2"/>
      <c r="O585" s="5"/>
      <c r="P585" s="2"/>
      <c r="Q585" s="2"/>
    </row>
    <row r="586" spans="1:17">
      <c r="B586" s="13"/>
      <c r="D586" s="5"/>
      <c r="F586" s="14"/>
      <c r="I586" s="72"/>
      <c r="J586" s="103"/>
      <c r="K586" s="100"/>
      <c r="L586" s="101"/>
      <c r="M586" s="6"/>
      <c r="N586" s="2"/>
      <c r="O586" s="45"/>
      <c r="P586" s="5"/>
      <c r="Q586" s="2"/>
    </row>
    <row r="587" spans="1:17">
      <c r="B587" s="4"/>
      <c r="D587" s="5"/>
      <c r="F587" s="14"/>
      <c r="I587" s="72"/>
      <c r="J587" s="103"/>
      <c r="K587" s="100"/>
      <c r="L587" s="101"/>
      <c r="M587" s="6"/>
      <c r="N587" s="2"/>
      <c r="O587" s="5"/>
      <c r="P587" s="5"/>
      <c r="Q587" s="2"/>
    </row>
    <row r="588" spans="1:17">
      <c r="B588" s="13"/>
      <c r="D588" s="5"/>
      <c r="F588" s="14"/>
      <c r="I588" s="72"/>
      <c r="J588" s="103"/>
      <c r="K588" s="100"/>
      <c r="L588" s="101"/>
      <c r="M588" s="6"/>
      <c r="N588" s="2"/>
      <c r="O588" s="5"/>
      <c r="P588" s="5"/>
      <c r="Q588" s="2"/>
    </row>
    <row r="589" spans="1:17">
      <c r="B589" s="13"/>
      <c r="D589" s="5"/>
      <c r="F589" s="14"/>
      <c r="I589" s="72"/>
      <c r="J589" s="103"/>
      <c r="K589" s="100"/>
      <c r="L589" s="101"/>
      <c r="M589" s="6"/>
      <c r="N589" s="2"/>
      <c r="O589" s="5"/>
      <c r="P589" s="5"/>
      <c r="Q589" s="2"/>
    </row>
    <row r="590" spans="1:17">
      <c r="B590" s="13"/>
      <c r="D590" s="5"/>
      <c r="F590" s="14"/>
      <c r="I590" s="72"/>
      <c r="J590" s="103"/>
      <c r="K590" s="100"/>
      <c r="L590" s="101"/>
      <c r="M590" s="6"/>
      <c r="N590" s="2"/>
      <c r="O590" s="5"/>
      <c r="P590" s="5"/>
      <c r="Q590" s="2"/>
    </row>
    <row r="591" spans="1:17">
      <c r="B591" s="13"/>
      <c r="D591" s="5"/>
      <c r="F591" s="14"/>
      <c r="I591" s="72"/>
      <c r="J591" s="103"/>
      <c r="K591" s="100"/>
      <c r="L591" s="101"/>
      <c r="M591" s="6"/>
    </row>
    <row r="592" spans="1:17">
      <c r="B592" s="13"/>
      <c r="D592" s="5"/>
      <c r="F592" s="14"/>
      <c r="I592" s="72"/>
      <c r="J592" s="103"/>
      <c r="K592" s="100"/>
      <c r="L592" s="101"/>
      <c r="M592" s="6"/>
    </row>
    <row r="593" spans="1:13">
      <c r="B593" s="4"/>
      <c r="D593" s="5"/>
      <c r="F593" s="14"/>
      <c r="I593" s="72"/>
      <c r="J593" s="103"/>
      <c r="K593" s="100"/>
      <c r="L593" s="101"/>
      <c r="M593" s="6"/>
    </row>
    <row r="594" spans="1:13">
      <c r="B594" s="13"/>
      <c r="D594" s="5"/>
      <c r="F594" s="14"/>
      <c r="I594" s="72"/>
      <c r="J594" s="103"/>
      <c r="K594" s="100"/>
      <c r="L594" s="101"/>
      <c r="M594" s="6"/>
    </row>
    <row r="595" spans="1:13">
      <c r="B595" s="13"/>
      <c r="D595" s="5"/>
      <c r="F595" s="14"/>
      <c r="I595" s="72"/>
      <c r="J595" s="103"/>
      <c r="K595" s="100"/>
      <c r="L595" s="101"/>
      <c r="M595" s="6"/>
    </row>
    <row r="596" spans="1:13">
      <c r="B596" s="74"/>
      <c r="D596" s="5"/>
      <c r="F596" s="14"/>
      <c r="I596" s="72"/>
      <c r="J596" s="103"/>
      <c r="K596" s="100"/>
      <c r="L596" s="101"/>
      <c r="M596" s="6"/>
    </row>
    <row r="597" spans="1:13">
      <c r="B597" s="13"/>
      <c r="D597" s="5"/>
      <c r="F597" s="14"/>
      <c r="I597" s="72"/>
      <c r="J597" s="103"/>
      <c r="K597" s="100"/>
      <c r="L597" s="101"/>
      <c r="M597" s="6"/>
    </row>
    <row r="598" spans="1:13">
      <c r="B598" s="13"/>
      <c r="D598" s="5"/>
      <c r="F598" s="14"/>
      <c r="I598" s="72"/>
      <c r="J598" s="103"/>
      <c r="K598" s="100"/>
      <c r="L598" s="101"/>
      <c r="M598" s="6"/>
    </row>
    <row r="599" spans="1:13">
      <c r="B599" s="13"/>
      <c r="D599" s="5"/>
      <c r="F599" s="14"/>
      <c r="I599" s="72"/>
      <c r="J599" s="103"/>
      <c r="K599" s="100"/>
      <c r="L599" s="101"/>
      <c r="M599" s="6"/>
    </row>
    <row r="600" spans="1:13">
      <c r="B600" s="13"/>
      <c r="D600" s="5"/>
      <c r="F600" s="14"/>
      <c r="I600" s="72"/>
      <c r="J600" s="103"/>
      <c r="K600" s="100"/>
      <c r="L600" s="101"/>
    </row>
    <row r="601" spans="1:13">
      <c r="B601" s="13"/>
      <c r="D601" s="5"/>
      <c r="F601" s="14"/>
      <c r="I601" s="72"/>
      <c r="J601" s="103"/>
      <c r="K601" s="100"/>
      <c r="L601" s="101"/>
    </row>
    <row r="602" spans="1:13">
      <c r="B602" s="13"/>
      <c r="D602" s="5"/>
      <c r="F602" s="14"/>
      <c r="I602" s="72"/>
      <c r="J602" s="103"/>
      <c r="K602" s="100"/>
      <c r="L602" s="101"/>
    </row>
    <row r="603" spans="1:13">
      <c r="B603" s="13"/>
      <c r="D603" s="5"/>
      <c r="F603" s="11"/>
      <c r="G603" s="11"/>
      <c r="I603" s="72"/>
      <c r="J603" s="103"/>
      <c r="K603" s="100"/>
      <c r="L603" s="101"/>
    </row>
    <row r="604" spans="1:13">
      <c r="B604" s="13"/>
      <c r="D604" s="5"/>
      <c r="F604" s="11"/>
      <c r="G604" s="11"/>
      <c r="I604" s="72"/>
      <c r="J604" s="103"/>
      <c r="K604" s="100"/>
      <c r="L604" s="101"/>
    </row>
    <row r="605" spans="1:13">
      <c r="B605" s="13"/>
      <c r="D605" s="5"/>
      <c r="E605" s="48"/>
      <c r="F605" s="11"/>
      <c r="G605" s="11"/>
      <c r="I605" s="72"/>
      <c r="J605" s="103"/>
      <c r="K605" s="100"/>
      <c r="L605" s="101"/>
    </row>
    <row r="606" spans="1:13">
      <c r="B606" s="13"/>
      <c r="D606" s="5"/>
      <c r="E606" s="48"/>
      <c r="F606" s="14"/>
      <c r="H606" s="22"/>
      <c r="I606" s="72"/>
      <c r="J606" s="103"/>
      <c r="K606" s="100"/>
      <c r="L606" s="101"/>
    </row>
    <row r="607" spans="1:13">
      <c r="B607" s="13"/>
      <c r="D607" s="5"/>
      <c r="E607" s="48"/>
      <c r="F607" s="14"/>
      <c r="H607" s="22"/>
      <c r="I607" s="72"/>
      <c r="J607" s="103"/>
      <c r="K607" s="100"/>
      <c r="L607" s="101"/>
    </row>
    <row r="608" spans="1:13">
      <c r="A608" s="48"/>
      <c r="B608" s="13"/>
      <c r="D608" s="5"/>
      <c r="H608" s="22"/>
      <c r="I608" s="72"/>
      <c r="J608" s="103"/>
      <c r="K608" s="100"/>
      <c r="L608" s="101"/>
    </row>
    <row r="609" spans="1:12">
      <c r="A609" s="48"/>
      <c r="B609" s="13"/>
      <c r="D609" s="5"/>
      <c r="E609" s="7"/>
      <c r="I609" s="72"/>
      <c r="J609" s="103"/>
      <c r="K609" s="100"/>
      <c r="L609" s="101"/>
    </row>
    <row r="610" spans="1:12">
      <c r="A610" s="48"/>
      <c r="B610" s="13"/>
      <c r="D610" s="5"/>
      <c r="I610" s="72"/>
      <c r="J610" s="103"/>
      <c r="K610" s="100"/>
      <c r="L610" s="101"/>
    </row>
    <row r="611" spans="1:12">
      <c r="B611" s="13"/>
      <c r="D611" s="5"/>
      <c r="I611" s="72"/>
      <c r="J611" s="103"/>
      <c r="K611" s="100"/>
      <c r="L611" s="101"/>
    </row>
    <row r="612" spans="1:12">
      <c r="B612" s="13"/>
      <c r="D612" s="5"/>
      <c r="I612" s="72"/>
      <c r="J612" s="103"/>
      <c r="K612" s="100"/>
      <c r="L612" s="101"/>
    </row>
    <row r="613" spans="1:12">
      <c r="B613" s="13"/>
      <c r="D613" s="5"/>
      <c r="I613" s="72"/>
      <c r="J613" s="103"/>
      <c r="K613" s="100"/>
      <c r="L613" s="101"/>
    </row>
    <row r="614" spans="1:12">
      <c r="B614" s="13"/>
      <c r="D614" s="5"/>
      <c r="I614" s="72"/>
      <c r="J614" s="103"/>
      <c r="K614" s="100"/>
      <c r="L614" s="101"/>
    </row>
    <row r="615" spans="1:12">
      <c r="B615" s="13"/>
      <c r="D615" s="5"/>
      <c r="I615" s="72"/>
      <c r="J615" s="103"/>
      <c r="K615" s="100"/>
      <c r="L615" s="101"/>
    </row>
    <row r="616" spans="1:12">
      <c r="B616" s="13"/>
      <c r="D616" s="5"/>
      <c r="I616" s="72"/>
      <c r="J616" s="103"/>
      <c r="K616" s="100"/>
      <c r="L616" s="101"/>
    </row>
    <row r="617" spans="1:12">
      <c r="B617" s="13"/>
      <c r="D617" s="5"/>
      <c r="I617" s="72"/>
      <c r="J617" s="103"/>
      <c r="K617" s="100"/>
      <c r="L617" s="101"/>
    </row>
    <row r="618" spans="1:12">
      <c r="B618" s="13"/>
      <c r="D618" s="5"/>
      <c r="I618" s="72"/>
      <c r="J618" s="103"/>
      <c r="K618" s="100"/>
      <c r="L618" s="101"/>
    </row>
    <row r="619" spans="1:12">
      <c r="B619" s="13"/>
      <c r="D619" s="5"/>
      <c r="I619" s="72"/>
      <c r="J619" s="103"/>
      <c r="K619" s="100"/>
      <c r="L619" s="101"/>
    </row>
    <row r="620" spans="1:12">
      <c r="B620" s="13"/>
      <c r="D620" s="5"/>
      <c r="I620" s="72"/>
      <c r="J620" s="103"/>
      <c r="K620" s="100"/>
      <c r="L620" s="101"/>
    </row>
    <row r="621" spans="1:12">
      <c r="B621" s="13"/>
      <c r="D621" s="5"/>
      <c r="I621" s="72"/>
      <c r="J621" s="103"/>
      <c r="K621" s="100"/>
      <c r="L621" s="101"/>
    </row>
    <row r="622" spans="1:12">
      <c r="B622" s="13"/>
      <c r="D622" s="5"/>
      <c r="I622" s="72"/>
      <c r="J622" s="103"/>
      <c r="K622" s="100"/>
      <c r="L622" s="101"/>
    </row>
    <row r="623" spans="1:12">
      <c r="B623" s="13"/>
      <c r="D623" s="5"/>
      <c r="I623" s="72"/>
      <c r="J623" s="103"/>
      <c r="K623" s="100"/>
      <c r="L623" s="101"/>
    </row>
    <row r="624" spans="1:12">
      <c r="B624" s="13"/>
      <c r="D624" s="5"/>
      <c r="I624" s="72"/>
      <c r="J624" s="103"/>
      <c r="K624" s="100"/>
      <c r="L624" s="101"/>
    </row>
    <row r="625" spans="2:12">
      <c r="B625" s="13"/>
      <c r="D625" s="5"/>
      <c r="I625" s="72"/>
      <c r="J625" s="103"/>
      <c r="K625" s="100"/>
      <c r="L625" s="101"/>
    </row>
    <row r="626" spans="2:12">
      <c r="B626" s="13"/>
      <c r="D626" s="5"/>
      <c r="I626" s="72"/>
      <c r="J626" s="103"/>
      <c r="K626" s="100"/>
      <c r="L626" s="101"/>
    </row>
    <row r="627" spans="2:12">
      <c r="B627" s="13"/>
      <c r="D627" s="5"/>
      <c r="I627" s="72"/>
      <c r="J627" s="103"/>
      <c r="K627" s="100"/>
      <c r="L627" s="101"/>
    </row>
    <row r="628" spans="2:12">
      <c r="B628" s="13"/>
      <c r="D628" s="5"/>
      <c r="I628" s="72"/>
      <c r="J628" s="103"/>
      <c r="K628" s="100"/>
      <c r="L628" s="101"/>
    </row>
    <row r="629" spans="2:12">
      <c r="B629" s="13"/>
      <c r="D629" s="5"/>
      <c r="I629" s="72"/>
      <c r="J629" s="103"/>
      <c r="K629" s="100"/>
      <c r="L629" s="101"/>
    </row>
    <row r="630" spans="2:12">
      <c r="B630" s="13"/>
      <c r="D630" s="5"/>
      <c r="I630" s="72"/>
      <c r="J630" s="103"/>
      <c r="K630" s="100"/>
      <c r="L630" s="101"/>
    </row>
    <row r="631" spans="2:12">
      <c r="B631" s="13"/>
      <c r="D631" s="5"/>
      <c r="I631" s="72"/>
      <c r="J631" s="103"/>
      <c r="K631" s="100"/>
      <c r="L631" s="101"/>
    </row>
    <row r="632" spans="2:12">
      <c r="B632" s="13"/>
      <c r="D632" s="5"/>
      <c r="I632" s="72"/>
      <c r="J632" s="103"/>
      <c r="K632" s="100"/>
      <c r="L632" s="101"/>
    </row>
    <row r="633" spans="2:12">
      <c r="B633" s="13"/>
      <c r="D633" s="5"/>
      <c r="I633" s="72"/>
      <c r="J633" s="103"/>
      <c r="K633" s="100"/>
      <c r="L633" s="101"/>
    </row>
    <row r="634" spans="2:12">
      <c r="B634" s="13"/>
      <c r="D634" s="5"/>
      <c r="I634" s="4"/>
      <c r="K634" s="4"/>
      <c r="L634" s="73"/>
    </row>
    <row r="635" spans="2:12">
      <c r="B635" s="13"/>
      <c r="D635" s="5"/>
      <c r="K635" s="4"/>
      <c r="L635" s="73"/>
    </row>
    <row r="636" spans="2:12">
      <c r="B636" s="13"/>
      <c r="D636" s="5"/>
    </row>
    <row r="637" spans="2:12">
      <c r="B637" s="13"/>
      <c r="D637" s="5"/>
    </row>
    <row r="638" spans="2:12">
      <c r="B638" s="13"/>
      <c r="D638" s="5"/>
    </row>
    <row r="639" spans="2:12">
      <c r="B639" s="13"/>
      <c r="D639" s="5"/>
    </row>
    <row r="640" spans="2:12">
      <c r="B640" s="13"/>
      <c r="D640" s="5"/>
    </row>
    <row r="641" spans="1:4">
      <c r="B641" s="13"/>
      <c r="D641" s="5"/>
    </row>
    <row r="642" spans="1:4">
      <c r="A642" s="7"/>
      <c r="B642" s="74"/>
    </row>
    <row r="643" spans="1:4">
      <c r="A643" s="7"/>
      <c r="B643" s="11"/>
      <c r="C643" s="11"/>
    </row>
    <row r="644" spans="1:4">
      <c r="A644" s="4"/>
    </row>
    <row r="645" spans="1:4">
      <c r="B645" s="86"/>
    </row>
    <row r="646" spans="1:4">
      <c r="A646" s="85"/>
      <c r="B646" s="4"/>
      <c r="C646" s="11"/>
    </row>
    <row r="647" spans="1:4">
      <c r="A647" s="85"/>
      <c r="B647" s="4"/>
    </row>
    <row r="648" spans="1:4">
      <c r="B648" s="4"/>
    </row>
    <row r="649" spans="1:4">
      <c r="A649" s="7"/>
      <c r="B649" s="4"/>
      <c r="C649" s="11"/>
    </row>
    <row r="650" spans="1:4">
      <c r="B650" s="4"/>
    </row>
    <row r="651" spans="1:4">
      <c r="B651" s="20"/>
    </row>
    <row r="652" spans="1:4">
      <c r="B652" s="11"/>
    </row>
    <row r="653" spans="1:4">
      <c r="B653" s="11"/>
    </row>
    <row r="654" spans="1:4">
      <c r="B654" s="86"/>
      <c r="C654" s="11"/>
    </row>
    <row r="655" spans="1:4">
      <c r="A655" s="4"/>
      <c r="B655" s="11"/>
      <c r="C655" s="11"/>
    </row>
    <row r="656" spans="1:4">
      <c r="A656" s="87"/>
      <c r="B656" s="84"/>
    </row>
    <row r="657" spans="1:4">
      <c r="A657" s="4"/>
      <c r="B657" s="36"/>
    </row>
    <row r="658" spans="1:4">
      <c r="A658" s="4"/>
      <c r="B658" s="88"/>
    </row>
    <row r="659" spans="1:4">
      <c r="A659" s="7"/>
      <c r="B659" s="4"/>
      <c r="D659" s="79" t="s">
        <v>800</v>
      </c>
    </row>
    <row r="660" spans="1:4">
      <c r="B660" s="11"/>
      <c r="D660" s="79" t="s">
        <v>800</v>
      </c>
    </row>
    <row r="661" spans="1:4">
      <c r="A661" s="7"/>
      <c r="B661" s="84"/>
    </row>
    <row r="662" spans="1:4">
      <c r="B662" s="11"/>
    </row>
    <row r="663" spans="1:4">
      <c r="B663" s="36"/>
    </row>
    <row r="664" spans="1:4">
      <c r="B664" s="36"/>
    </row>
    <row r="666" spans="1:4">
      <c r="B666" s="11"/>
    </row>
    <row r="667" spans="1:4">
      <c r="B667" s="36"/>
    </row>
    <row r="668" spans="1:4">
      <c r="B668" s="11"/>
    </row>
    <row r="669" spans="1:4">
      <c r="B669" s="84"/>
    </row>
    <row r="670" spans="1:4">
      <c r="B670" s="18"/>
    </row>
    <row r="671" spans="1:4">
      <c r="B671" s="18"/>
    </row>
    <row r="672" spans="1:4">
      <c r="B672" s="18"/>
    </row>
    <row r="673" spans="2:2">
      <c r="B673" s="18"/>
    </row>
    <row r="674" spans="2:2">
      <c r="B674" s="36"/>
    </row>
    <row r="675" spans="2:2">
      <c r="B675" s="36"/>
    </row>
  </sheetData>
  <dataValidations count="1">
    <dataValidation allowBlank="1" showInputMessage="1" showErrorMessage="1" promptTitle="Vendor SKU" prompt="This is a unique identifier defined by you the supplier for your product." sqref="F374 B2:B4 I2:I4"/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L439"/>
  <sheetViews>
    <sheetView topLeftCell="A325" zoomScale="85" zoomScaleNormal="85" workbookViewId="0">
      <selection activeCell="E359" sqref="E359"/>
    </sheetView>
  </sheetViews>
  <sheetFormatPr defaultRowHeight="21"/>
  <cols>
    <col min="1" max="1" width="28.7109375" style="6" bestFit="1" customWidth="1"/>
    <col min="2" max="2" width="9.140625" style="6"/>
    <col min="3" max="3" width="11.5703125" style="6" customWidth="1"/>
    <col min="4" max="4" width="30.5703125" style="6" customWidth="1"/>
    <col min="5" max="5" width="12.140625" style="6" bestFit="1" customWidth="1"/>
    <col min="6" max="6" width="9.140625" style="6"/>
    <col min="7" max="7" width="28.42578125" style="6" customWidth="1"/>
    <col min="8" max="9" width="9.140625" style="6"/>
    <col min="10" max="10" width="21.42578125" style="6" bestFit="1" customWidth="1"/>
    <col min="11" max="16384" width="9.140625" style="6"/>
  </cols>
  <sheetData>
    <row r="1" spans="1:10">
      <c r="A1" s="6" t="s">
        <v>776</v>
      </c>
      <c r="B1" s="6" t="s">
        <v>3</v>
      </c>
      <c r="C1" s="6" t="s">
        <v>774</v>
      </c>
      <c r="D1" s="6" t="s">
        <v>775</v>
      </c>
      <c r="E1" s="6" t="s">
        <v>3</v>
      </c>
      <c r="G1" s="6" t="s">
        <v>776</v>
      </c>
      <c r="H1" s="6" t="s">
        <v>3</v>
      </c>
    </row>
    <row r="2" spans="1:10">
      <c r="A2" s="14" t="s">
        <v>0</v>
      </c>
      <c r="B2" s="4">
        <f ca="1">VLOOKUP(A2,'Listing Inventory'!$B$5:$D$642,3,FALSE)</f>
        <v>4</v>
      </c>
      <c r="C2" s="6" t="s">
        <v>578</v>
      </c>
      <c r="D2" s="13"/>
      <c r="E2" s="4"/>
      <c r="G2" s="13" t="s">
        <v>0</v>
      </c>
      <c r="H2" s="4">
        <f ca="1">MIN(E3,E5)</f>
        <v>4</v>
      </c>
    </row>
    <row r="3" spans="1:10">
      <c r="A3" s="14" t="s">
        <v>93</v>
      </c>
      <c r="B3" s="100">
        <f ca="1">VLOOKUP(A3,'Listing Inventory'!$B$5:$D$642,3,FALSE)</f>
        <v>0</v>
      </c>
      <c r="C3" s="6" t="s">
        <v>579</v>
      </c>
      <c r="D3" s="4" t="s">
        <v>802</v>
      </c>
      <c r="E3" s="4">
        <f ca="1">SUM(B2,B3,B4)</f>
        <v>4</v>
      </c>
      <c r="G3" s="13" t="s">
        <v>93</v>
      </c>
      <c r="H3" s="4">
        <f ca="1">MIN(E3,E5,E6)</f>
        <v>4</v>
      </c>
    </row>
    <row r="4" spans="1:10">
      <c r="A4" s="14" t="s">
        <v>94</v>
      </c>
      <c r="B4" s="100">
        <f ca="1">VLOOKUP(A4,'Listing Inventory'!$B$5:$D$642,3,FALSE)</f>
        <v>0</v>
      </c>
      <c r="C4" s="6" t="s">
        <v>580</v>
      </c>
      <c r="D4" s="4" t="s">
        <v>801</v>
      </c>
      <c r="E4" s="4">
        <f ca="1">SUM(B6,B7,B8)</f>
        <v>4</v>
      </c>
      <c r="G4" s="13" t="s">
        <v>94</v>
      </c>
      <c r="H4" s="4">
        <f ca="1">MIN(E3,E5,E7)</f>
        <v>4</v>
      </c>
    </row>
    <row r="5" spans="1:10">
      <c r="A5" s="4"/>
      <c r="B5" s="100"/>
      <c r="D5" s="4" t="s">
        <v>767</v>
      </c>
      <c r="E5" s="4">
        <f ca="1">SUM(B2,B3,B4,E11)</f>
        <v>124</v>
      </c>
      <c r="G5" s="4"/>
      <c r="H5" s="4"/>
      <c r="J5" s="16"/>
    </row>
    <row r="6" spans="1:10">
      <c r="A6" s="13" t="s">
        <v>316</v>
      </c>
      <c r="B6" s="100">
        <f ca="1">VLOOKUP(A6,'Listing Inventory'!$B$5:$D$642,3,FALSE)</f>
        <v>4</v>
      </c>
      <c r="C6" s="6" t="s">
        <v>578</v>
      </c>
      <c r="D6" s="4" t="s">
        <v>761</v>
      </c>
      <c r="E6" s="4">
        <f ca="1">SUM(B3,B7,E9)</f>
        <v>120</v>
      </c>
      <c r="G6" s="80" t="s">
        <v>316</v>
      </c>
      <c r="H6" s="4">
        <f ca="1">E4</f>
        <v>4</v>
      </c>
    </row>
    <row r="7" spans="1:10">
      <c r="A7" s="13" t="s">
        <v>317</v>
      </c>
      <c r="B7" s="100">
        <f ca="1">VLOOKUP(A7,'Listing Inventory'!$B$5:$D$642,3,FALSE)</f>
        <v>0</v>
      </c>
      <c r="C7" s="6" t="s">
        <v>579</v>
      </c>
      <c r="D7" s="4" t="s">
        <v>762</v>
      </c>
      <c r="E7" s="4">
        <f ca="1">SUM(B4,B8,E10)</f>
        <v>120</v>
      </c>
      <c r="G7" s="13" t="s">
        <v>317</v>
      </c>
      <c r="H7" s="4">
        <f ca="1">MIN(E4,E6)</f>
        <v>4</v>
      </c>
    </row>
    <row r="8" spans="1:10">
      <c r="A8" s="13" t="s">
        <v>1</v>
      </c>
      <c r="B8" s="100">
        <f ca="1">VLOOKUP(A8,'Listing Inventory'!$B$5:$D$642,3,FALSE)</f>
        <v>0</v>
      </c>
      <c r="C8" s="6" t="s">
        <v>580</v>
      </c>
      <c r="D8" s="4"/>
      <c r="E8" s="4"/>
      <c r="G8" s="13" t="s">
        <v>1</v>
      </c>
      <c r="H8" s="4">
        <f ca="1">MIN(E4,E7)</f>
        <v>4</v>
      </c>
    </row>
    <row r="9" spans="1:10">
      <c r="A9" s="13"/>
      <c r="B9" s="100"/>
      <c r="D9" s="4" t="s">
        <v>793</v>
      </c>
      <c r="E9" s="4">
        <v>120</v>
      </c>
      <c r="G9" s="13"/>
      <c r="H9" s="4"/>
    </row>
    <row r="10" spans="1:10">
      <c r="A10" s="13"/>
      <c r="B10" s="100"/>
      <c r="D10" s="4" t="s">
        <v>794</v>
      </c>
      <c r="E10" s="4">
        <v>120</v>
      </c>
      <c r="G10" s="13"/>
      <c r="H10" s="4"/>
    </row>
    <row r="11" spans="1:10">
      <c r="A11" s="4"/>
      <c r="B11" s="100"/>
      <c r="D11" s="4" t="s">
        <v>795</v>
      </c>
      <c r="E11" s="4">
        <v>120</v>
      </c>
      <c r="G11" s="4"/>
      <c r="H11" s="4"/>
    </row>
    <row r="12" spans="1:10">
      <c r="A12" s="65"/>
      <c r="B12" s="100"/>
      <c r="C12" s="66"/>
      <c r="D12" s="65"/>
      <c r="E12" s="65"/>
      <c r="F12" s="66"/>
      <c r="G12" s="65"/>
      <c r="H12" s="4"/>
    </row>
    <row r="13" spans="1:10">
      <c r="A13" s="73" t="s">
        <v>321</v>
      </c>
      <c r="B13" s="100">
        <f ca="1">VLOOKUP(A13,'Listing Inventory'!$B$5:$D$642,3,FALSE)</f>
        <v>9</v>
      </c>
      <c r="D13" s="4"/>
      <c r="E13" s="4"/>
      <c r="G13" s="73" t="s">
        <v>321</v>
      </c>
      <c r="H13" s="4">
        <f ca="1">E15</f>
        <v>11</v>
      </c>
    </row>
    <row r="14" spans="1:10">
      <c r="A14" s="4" t="s">
        <v>322</v>
      </c>
      <c r="B14" s="100">
        <f ca="1">VLOOKUP(A14,'Listing Inventory'!$B$5:$D$642,3,FALSE)</f>
        <v>0</v>
      </c>
      <c r="D14" s="4"/>
      <c r="E14" s="4"/>
      <c r="G14" s="13" t="s">
        <v>322</v>
      </c>
      <c r="H14" s="4">
        <f ca="1">E16</f>
        <v>0</v>
      </c>
    </row>
    <row r="15" spans="1:10">
      <c r="A15" s="4" t="s">
        <v>323</v>
      </c>
      <c r="B15" s="100">
        <f ca="1">VLOOKUP(A15,'Listing Inventory'!$B$5:$D$642,3,FALSE)</f>
        <v>0</v>
      </c>
      <c r="D15" s="4" t="s">
        <v>770</v>
      </c>
      <c r="E15" s="4">
        <f ca="1">SUM(B13,B15,B17,B20,B22,B24)</f>
        <v>11</v>
      </c>
      <c r="G15" s="13" t="s">
        <v>323</v>
      </c>
      <c r="H15" s="4">
        <f ca="1">MIN(E15,E18)</f>
        <v>11</v>
      </c>
    </row>
    <row r="16" spans="1:10">
      <c r="A16" s="4" t="s">
        <v>324</v>
      </c>
      <c r="B16" s="100">
        <f ca="1">VLOOKUP(A16,'Listing Inventory'!$B$5:$D$642,3,FALSE)</f>
        <v>0</v>
      </c>
      <c r="D16" s="4" t="s">
        <v>771</v>
      </c>
      <c r="E16" s="4">
        <f ca="1">SUM(B14,B16,B18,B21,B23,B25,B26)</f>
        <v>0</v>
      </c>
      <c r="G16" s="13" t="s">
        <v>324</v>
      </c>
      <c r="H16" s="4">
        <f ca="1">MIN(E16,E18)</f>
        <v>0</v>
      </c>
    </row>
    <row r="17" spans="1:10">
      <c r="A17" s="4" t="s">
        <v>325</v>
      </c>
      <c r="B17" s="100">
        <f ca="1">VLOOKUP(A17,'Listing Inventory'!$B$5:$D$642,3,FALSE)</f>
        <v>0</v>
      </c>
      <c r="D17" s="4" t="s">
        <v>767</v>
      </c>
      <c r="E17" s="4">
        <f ca="1">SUM(B20:B26,E23)</f>
        <v>52</v>
      </c>
      <c r="G17" s="13" t="s">
        <v>325</v>
      </c>
      <c r="H17" s="4">
        <f ca="1">MIN(E15,E19)</f>
        <v>11</v>
      </c>
    </row>
    <row r="18" spans="1:10">
      <c r="A18" s="4" t="s">
        <v>326</v>
      </c>
      <c r="B18" s="100">
        <f ca="1">VLOOKUP(A18,'Listing Inventory'!$B$5:$D$642,3,FALSE)</f>
        <v>0</v>
      </c>
      <c r="D18" s="4" t="s">
        <v>761</v>
      </c>
      <c r="E18" s="4">
        <f ca="1">SUM(B15,B16,B22,B23,E21)</f>
        <v>52</v>
      </c>
      <c r="G18" s="13" t="s">
        <v>326</v>
      </c>
      <c r="H18" s="4">
        <f ca="1">MIN(E16,E19)</f>
        <v>0</v>
      </c>
    </row>
    <row r="19" spans="1:10">
      <c r="A19" s="4"/>
      <c r="B19" s="100"/>
      <c r="D19" s="4" t="s">
        <v>762</v>
      </c>
      <c r="E19" s="4">
        <f ca="1">SUM(B17,B18,B24,B25,B26,E22)</f>
        <v>50</v>
      </c>
      <c r="G19" s="4"/>
      <c r="H19" s="4"/>
    </row>
    <row r="20" spans="1:10">
      <c r="A20" s="4" t="s">
        <v>769</v>
      </c>
      <c r="B20" s="100">
        <f ca="1">VLOOKUP(A20,'Listing Inventory'!$B$5:$D$642,3,FALSE)</f>
        <v>0</v>
      </c>
      <c r="D20" s="4"/>
      <c r="E20" s="4"/>
      <c r="G20" s="13" t="s">
        <v>769</v>
      </c>
      <c r="H20" s="4">
        <f ca="1">MIN(E15,E17)</f>
        <v>11</v>
      </c>
    </row>
    <row r="21" spans="1:10">
      <c r="A21" s="4" t="s">
        <v>340</v>
      </c>
      <c r="B21" s="100">
        <f ca="1">VLOOKUP(A21,'Listing Inventory'!$B$5:$D$642,3,FALSE)</f>
        <v>0</v>
      </c>
      <c r="D21" s="4" t="s">
        <v>793</v>
      </c>
      <c r="E21" s="4">
        <v>50</v>
      </c>
      <c r="G21" s="13" t="s">
        <v>340</v>
      </c>
      <c r="H21" s="4">
        <f ca="1">MIN(E16,E17)</f>
        <v>0</v>
      </c>
    </row>
    <row r="22" spans="1:10">
      <c r="A22" s="4" t="s">
        <v>338</v>
      </c>
      <c r="B22" s="100">
        <f ca="1">VLOOKUP(A22,'Listing Inventory'!$B$5:$D$642,3,FALSE)</f>
        <v>2</v>
      </c>
      <c r="D22" s="4" t="s">
        <v>794</v>
      </c>
      <c r="E22" s="4">
        <v>50</v>
      </c>
      <c r="G22" s="13" t="s">
        <v>338</v>
      </c>
      <c r="H22" s="4">
        <f ca="1">MIN(E15,E17,E18)</f>
        <v>11</v>
      </c>
    </row>
    <row r="23" spans="1:10">
      <c r="A23" s="4" t="s">
        <v>341</v>
      </c>
      <c r="B23" s="100">
        <f ca="1">VLOOKUP(A23,'Listing Inventory'!$B$5:$D$642,3,FALSE)</f>
        <v>0</v>
      </c>
      <c r="D23" s="4" t="s">
        <v>795</v>
      </c>
      <c r="E23" s="4">
        <v>50</v>
      </c>
      <c r="G23" s="13" t="s">
        <v>341</v>
      </c>
      <c r="H23" s="4">
        <f ca="1">MIN(E16,E17,E18)</f>
        <v>0</v>
      </c>
    </row>
    <row r="24" spans="1:10">
      <c r="A24" s="4" t="s">
        <v>768</v>
      </c>
      <c r="B24" s="100">
        <f ca="1">VLOOKUP(A24,'Listing Inventory'!$B$5:$D$642,3,FALSE)</f>
        <v>0</v>
      </c>
      <c r="D24" s="4"/>
      <c r="E24" s="4"/>
      <c r="G24" s="13" t="s">
        <v>768</v>
      </c>
      <c r="H24" s="4">
        <f ca="1">MIN(E15,E17,E19)</f>
        <v>11</v>
      </c>
    </row>
    <row r="25" spans="1:10">
      <c r="A25" s="4" t="s">
        <v>342</v>
      </c>
      <c r="B25" s="100">
        <f ca="1">VLOOKUP(A25,'Listing Inventory'!$B$5:$D$642,3,FALSE)</f>
        <v>0</v>
      </c>
      <c r="D25" s="4"/>
      <c r="E25" s="4"/>
      <c r="G25" s="13" t="s">
        <v>342</v>
      </c>
      <c r="H25" s="4">
        <f ca="1">MIN(E16,E17,E19)</f>
        <v>0</v>
      </c>
    </row>
    <row r="26" spans="1:10">
      <c r="A26" s="4" t="s">
        <v>339</v>
      </c>
      <c r="B26" s="100">
        <f ca="1">VLOOKUP(A26,'Listing Inventory'!$B$5:$D$642,3,FALSE)</f>
        <v>0</v>
      </c>
      <c r="D26" s="4"/>
      <c r="E26" s="4"/>
      <c r="G26" s="13" t="s">
        <v>339</v>
      </c>
      <c r="H26" s="4">
        <f ca="1">MIN(E16,E17,E19)</f>
        <v>0</v>
      </c>
    </row>
    <row r="27" spans="1:10">
      <c r="A27" s="65"/>
      <c r="B27" s="100"/>
      <c r="C27" s="66"/>
      <c r="D27" s="65"/>
      <c r="E27" s="65"/>
      <c r="F27" s="66"/>
      <c r="G27" s="65"/>
      <c r="H27" s="65"/>
    </row>
    <row r="28" spans="1:10">
      <c r="A28" s="4"/>
      <c r="B28" s="100"/>
      <c r="D28" s="4"/>
      <c r="E28" s="4"/>
      <c r="G28" s="14"/>
      <c r="H28" s="4"/>
    </row>
    <row r="29" spans="1:10">
      <c r="A29" s="68" t="s">
        <v>318</v>
      </c>
      <c r="B29" s="100">
        <f ca="1">VLOOKUP(A29,'Listing Inventory'!$B$5:$D$642,3,FALSE)</f>
        <v>0</v>
      </c>
      <c r="D29" s="4" t="s">
        <v>318</v>
      </c>
      <c r="E29" s="4">
        <f ca="1">SUM(B29,B31,B33)</f>
        <v>16</v>
      </c>
      <c r="G29" s="68" t="s">
        <v>318</v>
      </c>
      <c r="H29" s="4">
        <f ca="1">E29</f>
        <v>16</v>
      </c>
      <c r="J29" s="16"/>
    </row>
    <row r="30" spans="1:10">
      <c r="A30" s="68" t="s">
        <v>319</v>
      </c>
      <c r="B30" s="100">
        <f ca="1">VLOOKUP(A30,'Listing Inventory'!$B$5:$D$642,3,FALSE)</f>
        <v>0</v>
      </c>
      <c r="D30" s="4" t="s">
        <v>319</v>
      </c>
      <c r="E30" s="4">
        <f ca="1">SUM(B30,B32,B34)</f>
        <v>16</v>
      </c>
      <c r="G30" s="68" t="s">
        <v>319</v>
      </c>
      <c r="H30" s="4">
        <f ca="1">E30</f>
        <v>16</v>
      </c>
    </row>
    <row r="31" spans="1:10">
      <c r="A31" s="68" t="s">
        <v>320</v>
      </c>
      <c r="B31" s="100">
        <f ca="1">VLOOKUP(A31,'Listing Inventory'!$B$5:$D$642,3,FALSE)</f>
        <v>0</v>
      </c>
      <c r="D31" s="4" t="s">
        <v>761</v>
      </c>
      <c r="E31" s="4">
        <f ca="1">SUM(B31,B32,E35)</f>
        <v>50</v>
      </c>
      <c r="G31" s="68" t="s">
        <v>320</v>
      </c>
      <c r="H31" s="4">
        <f ca="1">MIN(E29,E31)</f>
        <v>16</v>
      </c>
    </row>
    <row r="32" spans="1:10">
      <c r="A32" s="68" t="s">
        <v>278</v>
      </c>
      <c r="B32" s="100">
        <f ca="1">VLOOKUP(A32,'Listing Inventory'!$B$5:$D$642,3,FALSE)</f>
        <v>0</v>
      </c>
      <c r="D32" s="4" t="s">
        <v>762</v>
      </c>
      <c r="E32" s="4">
        <f ca="1">SUM(B33,B34,E36)</f>
        <v>82</v>
      </c>
      <c r="G32" s="68" t="s">
        <v>278</v>
      </c>
      <c r="H32" s="4">
        <f ca="1">MIN(E30,E31)</f>
        <v>16</v>
      </c>
    </row>
    <row r="33" spans="1:8">
      <c r="A33" s="68" t="s">
        <v>63</v>
      </c>
      <c r="B33" s="100">
        <f ca="1">VLOOKUP(A33,'Listing Inventory'!$B$5:$D$642,3,FALSE)</f>
        <v>16</v>
      </c>
      <c r="D33" s="4"/>
      <c r="E33" s="4"/>
      <c r="G33" s="68" t="s">
        <v>63</v>
      </c>
      <c r="H33" s="4">
        <f ca="1">MIN(E29,E32)</f>
        <v>16</v>
      </c>
    </row>
    <row r="34" spans="1:8">
      <c r="A34" s="71" t="s">
        <v>64</v>
      </c>
      <c r="B34" s="100">
        <f ca="1">VLOOKUP(A34,'Listing Inventory'!$B$5:$D$642,3,FALSE)</f>
        <v>16</v>
      </c>
      <c r="D34" s="4"/>
      <c r="E34" s="4"/>
      <c r="G34" s="71" t="s">
        <v>64</v>
      </c>
      <c r="H34" s="4">
        <f ca="1">MIN(E30,E32)</f>
        <v>16</v>
      </c>
    </row>
    <row r="35" spans="1:8">
      <c r="A35" s="4"/>
      <c r="B35" s="100"/>
      <c r="D35" s="4" t="s">
        <v>793</v>
      </c>
      <c r="E35" s="4">
        <v>50</v>
      </c>
      <c r="G35" s="14"/>
      <c r="H35" s="4"/>
    </row>
    <row r="36" spans="1:8">
      <c r="A36" s="4"/>
      <c r="B36" s="100"/>
      <c r="D36" s="4" t="s">
        <v>794</v>
      </c>
      <c r="E36" s="4">
        <v>50</v>
      </c>
      <c r="G36" s="14"/>
      <c r="H36" s="4"/>
    </row>
    <row r="37" spans="1:8">
      <c r="A37" s="4"/>
      <c r="B37" s="100"/>
      <c r="D37" s="4"/>
      <c r="E37" s="4"/>
      <c r="G37" s="14"/>
      <c r="H37" s="4"/>
    </row>
    <row r="38" spans="1:8">
      <c r="A38" s="4"/>
      <c r="B38" s="100"/>
      <c r="D38" s="4"/>
      <c r="E38" s="4"/>
      <c r="G38" s="14"/>
      <c r="H38" s="4"/>
    </row>
    <row r="39" spans="1:8">
      <c r="A39" s="4"/>
      <c r="B39" s="100"/>
      <c r="D39" s="4"/>
      <c r="E39" s="4"/>
      <c r="G39" s="14"/>
      <c r="H39" s="4"/>
    </row>
    <row r="40" spans="1:8">
      <c r="A40" s="4"/>
      <c r="B40" s="100"/>
      <c r="D40" s="4"/>
      <c r="E40" s="4"/>
      <c r="G40" s="14"/>
      <c r="H40" s="4"/>
    </row>
    <row r="41" spans="1:8">
      <c r="A41" s="4"/>
      <c r="B41" s="100"/>
      <c r="D41" s="4"/>
      <c r="E41" s="4"/>
      <c r="G41" s="4"/>
      <c r="H41" s="4"/>
    </row>
    <row r="42" spans="1:8">
      <c r="A42" s="65"/>
      <c r="B42" s="100"/>
      <c r="C42" s="66"/>
      <c r="D42" s="65"/>
      <c r="E42" s="65"/>
      <c r="F42" s="66"/>
      <c r="G42" s="65"/>
      <c r="H42" s="4"/>
    </row>
    <row r="43" spans="1:8">
      <c r="A43" s="4"/>
      <c r="B43" s="100"/>
      <c r="D43" s="4"/>
      <c r="E43" s="4"/>
      <c r="G43" s="4"/>
      <c r="H43" s="4"/>
    </row>
    <row r="44" spans="1:8">
      <c r="A44" s="4" t="s">
        <v>690</v>
      </c>
      <c r="B44" s="100">
        <f ca="1">VLOOKUP(A44,'Listing Inventory'!$B$5:$D$642,3,FALSE)</f>
        <v>45</v>
      </c>
      <c r="D44" s="4"/>
      <c r="E44" s="4"/>
      <c r="G44" s="4" t="s">
        <v>690</v>
      </c>
      <c r="H44" s="4">
        <f ca="1">MIN(E45,E47)</f>
        <v>45</v>
      </c>
    </row>
    <row r="45" spans="1:8">
      <c r="A45" s="4" t="s">
        <v>329</v>
      </c>
      <c r="B45" s="100">
        <f ca="1">VLOOKUP(A45,'Listing Inventory'!$B$5:$D$642,3,FALSE)</f>
        <v>0</v>
      </c>
      <c r="D45" s="4" t="s">
        <v>763</v>
      </c>
      <c r="E45" s="4">
        <f ca="1">SUM(B44,B45,B46)</f>
        <v>173</v>
      </c>
      <c r="G45" s="4" t="s">
        <v>329</v>
      </c>
      <c r="H45" s="4">
        <f ca="1">MIN(E45,E46)</f>
        <v>0</v>
      </c>
    </row>
    <row r="46" spans="1:8">
      <c r="A46" s="4" t="s">
        <v>330</v>
      </c>
      <c r="B46" s="100">
        <f ca="1">VLOOKUP(A46,'Listing Inventory'!$B$5:$D$642,3,FALSE)</f>
        <v>128</v>
      </c>
      <c r="D46" s="4" t="s">
        <v>788</v>
      </c>
      <c r="E46" s="4">
        <f ca="1">B45</f>
        <v>0</v>
      </c>
      <c r="G46" s="4" t="s">
        <v>330</v>
      </c>
      <c r="H46" s="4">
        <f ca="1">E45</f>
        <v>173</v>
      </c>
    </row>
    <row r="47" spans="1:8">
      <c r="A47" s="4"/>
      <c r="B47" s="100"/>
      <c r="D47" s="4" t="s">
        <v>789</v>
      </c>
      <c r="E47" s="4">
        <f ca="1">B44</f>
        <v>45</v>
      </c>
      <c r="G47" s="4"/>
      <c r="H47" s="4"/>
    </row>
    <row r="48" spans="1:8">
      <c r="A48" s="65"/>
      <c r="B48" s="100"/>
      <c r="C48" s="66"/>
      <c r="D48" s="65"/>
      <c r="E48" s="65"/>
      <c r="F48" s="66"/>
      <c r="G48" s="65"/>
      <c r="H48" s="4"/>
    </row>
    <row r="49" spans="1:8">
      <c r="A49" s="4"/>
      <c r="B49" s="100"/>
      <c r="D49" s="4"/>
      <c r="E49" s="4"/>
      <c r="G49" s="4"/>
      <c r="H49" s="4"/>
    </row>
    <row r="50" spans="1:8">
      <c r="A50" s="17" t="s">
        <v>78</v>
      </c>
      <c r="B50" s="100">
        <f ca="1">VLOOKUP(A50,'Listing Inventory'!$B$5:$D$642,3,FALSE)</f>
        <v>0</v>
      </c>
      <c r="C50" s="6">
        <v>1</v>
      </c>
      <c r="D50" s="4" t="s">
        <v>625</v>
      </c>
      <c r="E50" s="4">
        <f ca="1">SUMPRODUCT(B50:B51,C50:C51)</f>
        <v>99</v>
      </c>
      <c r="G50" s="4" t="s">
        <v>78</v>
      </c>
      <c r="H50" s="4">
        <f ca="1">E50</f>
        <v>99</v>
      </c>
    </row>
    <row r="51" spans="1:8">
      <c r="A51" s="17" t="s">
        <v>79</v>
      </c>
      <c r="B51" s="100">
        <f ca="1">VLOOKUP(A51,'Listing Inventory'!$B$5:$D$642,3,FALSE)</f>
        <v>99</v>
      </c>
      <c r="C51" s="6">
        <v>1</v>
      </c>
      <c r="D51" s="4" t="s">
        <v>773</v>
      </c>
      <c r="E51" s="4">
        <f ca="1">B51</f>
        <v>99</v>
      </c>
      <c r="G51" s="4" t="s">
        <v>79</v>
      </c>
      <c r="H51" s="4">
        <f ca="1">MIN(E50,E51)</f>
        <v>99</v>
      </c>
    </row>
    <row r="52" spans="1:8">
      <c r="A52" s="4"/>
      <c r="B52" s="100"/>
      <c r="D52" s="4"/>
      <c r="E52" s="4"/>
      <c r="G52" s="4"/>
      <c r="H52" s="4"/>
    </row>
    <row r="53" spans="1:8">
      <c r="A53" s="65"/>
      <c r="B53" s="100"/>
      <c r="C53" s="66"/>
      <c r="D53" s="65"/>
      <c r="E53" s="65"/>
      <c r="F53" s="66"/>
      <c r="G53" s="65"/>
      <c r="H53" s="4"/>
    </row>
    <row r="54" spans="1:8">
      <c r="A54" s="4"/>
      <c r="B54" s="100"/>
      <c r="D54" s="4"/>
      <c r="E54" s="4"/>
      <c r="G54" s="4"/>
      <c r="H54" s="4"/>
    </row>
    <row r="55" spans="1:8">
      <c r="A55" s="17" t="s">
        <v>80</v>
      </c>
      <c r="B55" s="100">
        <f ca="1">VLOOKUP(A55,'Listing Inventory'!$B$5:$D$642,3,FALSE)</f>
        <v>5</v>
      </c>
      <c r="D55" s="4" t="s">
        <v>763</v>
      </c>
      <c r="E55" s="4">
        <f ca="1">SUM(B55,B56)</f>
        <v>5</v>
      </c>
      <c r="G55" s="68" t="s">
        <v>80</v>
      </c>
      <c r="H55" s="4">
        <f ca="1">E55</f>
        <v>5</v>
      </c>
    </row>
    <row r="56" spans="1:8">
      <c r="A56" s="17" t="s">
        <v>10</v>
      </c>
      <c r="B56" s="100">
        <f ca="1">VLOOKUP(A56,'Listing Inventory'!$B$5:$D$642,3,FALSE)</f>
        <v>0</v>
      </c>
      <c r="D56" s="4" t="s">
        <v>773</v>
      </c>
      <c r="E56" s="4">
        <f ca="1">SUM(B56)</f>
        <v>0</v>
      </c>
      <c r="G56" s="68" t="s">
        <v>10</v>
      </c>
      <c r="H56" s="4">
        <f ca="1">MIN(E55,E56)</f>
        <v>0</v>
      </c>
    </row>
    <row r="57" spans="1:8">
      <c r="A57" s="4"/>
      <c r="B57" s="100"/>
      <c r="D57" s="4"/>
      <c r="E57" s="4"/>
      <c r="G57" s="4"/>
      <c r="H57" s="4"/>
    </row>
    <row r="58" spans="1:8">
      <c r="A58" s="65"/>
      <c r="B58" s="100"/>
      <c r="C58" s="66"/>
      <c r="D58" s="65"/>
      <c r="E58" s="65"/>
      <c r="F58" s="66"/>
      <c r="G58" s="65"/>
      <c r="H58" s="4"/>
    </row>
    <row r="59" spans="1:8">
      <c r="A59" s="4"/>
      <c r="B59" s="100"/>
      <c r="D59" s="4"/>
      <c r="E59" s="4"/>
      <c r="G59" s="4"/>
      <c r="H59" s="4"/>
    </row>
    <row r="60" spans="1:8">
      <c r="A60" s="17" t="s">
        <v>81</v>
      </c>
      <c r="B60" s="100">
        <f ca="1">VLOOKUP(A60,'Listing Inventory'!$B$5:$D$642,3,FALSE)</f>
        <v>0</v>
      </c>
      <c r="D60" s="4" t="s">
        <v>763</v>
      </c>
      <c r="E60" s="4">
        <f ca="1">SUM(B60,B61)</f>
        <v>10</v>
      </c>
      <c r="G60" s="68" t="s">
        <v>81</v>
      </c>
      <c r="H60" s="4">
        <f ca="1">E60</f>
        <v>10</v>
      </c>
    </row>
    <row r="61" spans="1:8">
      <c r="A61" s="17" t="s">
        <v>679</v>
      </c>
      <c r="B61" s="100">
        <f ca="1">VLOOKUP(A61,'Listing Inventory'!$B$5:$D$642,3,FALSE)</f>
        <v>10</v>
      </c>
      <c r="D61" s="4" t="s">
        <v>773</v>
      </c>
      <c r="E61" s="4">
        <f ca="1">SUM(B61)</f>
        <v>10</v>
      </c>
      <c r="G61" s="68" t="s">
        <v>679</v>
      </c>
      <c r="H61" s="4">
        <f ca="1">MIN(E60,E61)</f>
        <v>10</v>
      </c>
    </row>
    <row r="62" spans="1:8">
      <c r="A62" s="17"/>
      <c r="B62" s="100"/>
      <c r="D62" s="4"/>
      <c r="E62" s="4"/>
      <c r="G62" s="68"/>
      <c r="H62" s="4"/>
    </row>
    <row r="63" spans="1:8">
      <c r="A63" s="65"/>
      <c r="B63" s="100"/>
      <c r="C63" s="66"/>
      <c r="D63" s="65"/>
      <c r="E63" s="65"/>
      <c r="F63" s="66"/>
      <c r="G63" s="65"/>
      <c r="H63" s="4"/>
    </row>
    <row r="64" spans="1:8">
      <c r="A64" s="17"/>
      <c r="B64" s="100"/>
      <c r="D64" s="4"/>
      <c r="E64" s="4"/>
      <c r="G64" s="68"/>
      <c r="H64" s="4"/>
    </row>
    <row r="65" spans="1:8">
      <c r="A65" s="17" t="s">
        <v>334</v>
      </c>
      <c r="B65" s="100">
        <f ca="1">VLOOKUP(A65,'Listing Inventory'!$B$5:$D$642,3,FALSE)</f>
        <v>1</v>
      </c>
      <c r="D65" s="4" t="s">
        <v>334</v>
      </c>
      <c r="E65" s="4">
        <f ca="1">SUM(B65,B67)</f>
        <v>1</v>
      </c>
      <c r="G65" s="17" t="s">
        <v>334</v>
      </c>
      <c r="H65" s="4">
        <f ca="1">E65</f>
        <v>1</v>
      </c>
    </row>
    <row r="66" spans="1:8">
      <c r="A66" s="17" t="s">
        <v>335</v>
      </c>
      <c r="B66" s="100">
        <f ca="1">VLOOKUP(A66,'Listing Inventory'!$B$5:$D$642,3,FALSE)</f>
        <v>16</v>
      </c>
      <c r="D66" s="4" t="s">
        <v>335</v>
      </c>
      <c r="E66" s="4">
        <f ca="1">SUM(B66,B68)</f>
        <v>16</v>
      </c>
      <c r="G66" s="17" t="s">
        <v>335</v>
      </c>
      <c r="H66" s="4">
        <f ca="1">E66</f>
        <v>16</v>
      </c>
    </row>
    <row r="67" spans="1:8">
      <c r="A67" s="17" t="s">
        <v>83</v>
      </c>
      <c r="B67" s="100">
        <f ca="1">VLOOKUP(A67,'Listing Inventory'!$B$5:$D$642,3,FALSE)</f>
        <v>0</v>
      </c>
      <c r="D67" s="4" t="s">
        <v>787</v>
      </c>
      <c r="E67" s="4">
        <f ca="1">SUM(B67,B68)</f>
        <v>0</v>
      </c>
      <c r="G67" s="17" t="s">
        <v>83</v>
      </c>
      <c r="H67" s="4">
        <f ca="1">MIN(E65,E67)</f>
        <v>0</v>
      </c>
    </row>
    <row r="68" spans="1:8">
      <c r="A68" s="17" t="s">
        <v>84</v>
      </c>
      <c r="B68" s="100">
        <f ca="1">VLOOKUP(A68,'Listing Inventory'!$B$5:$D$642,3,FALSE)</f>
        <v>0</v>
      </c>
      <c r="D68" s="4"/>
      <c r="E68" s="4"/>
      <c r="G68" s="17" t="s">
        <v>84</v>
      </c>
      <c r="H68" s="4">
        <f ca="1">MIN(E67,E66)</f>
        <v>0</v>
      </c>
    </row>
    <row r="69" spans="1:8">
      <c r="A69" s="4"/>
      <c r="B69" s="100"/>
      <c r="D69" s="4"/>
      <c r="E69" s="4"/>
      <c r="G69" s="4"/>
      <c r="H69" s="4"/>
    </row>
    <row r="70" spans="1:8">
      <c r="A70" s="65"/>
      <c r="B70" s="100"/>
      <c r="C70" s="66"/>
      <c r="D70" s="65"/>
      <c r="E70" s="65"/>
      <c r="F70" s="66"/>
      <c r="G70" s="65"/>
      <c r="H70" s="4"/>
    </row>
    <row r="71" spans="1:8">
      <c r="A71" s="4"/>
      <c r="B71" s="100"/>
      <c r="D71" s="4"/>
      <c r="E71" s="4"/>
      <c r="G71" s="4"/>
      <c r="H71" s="4"/>
    </row>
    <row r="72" spans="1:8">
      <c r="A72" s="17" t="s">
        <v>336</v>
      </c>
      <c r="B72" s="100">
        <f ca="1">VLOOKUP(A72,'Listing Inventory'!$B$5:$D$642,3,FALSE)</f>
        <v>0</v>
      </c>
      <c r="C72" s="6">
        <v>1</v>
      </c>
      <c r="D72" s="4" t="s">
        <v>336</v>
      </c>
      <c r="E72" s="4">
        <f ca="1">SUMPRODUCT(B72:B75,C72:C75)</f>
        <v>28.799999999999997</v>
      </c>
      <c r="G72" s="68" t="s">
        <v>336</v>
      </c>
      <c r="H72" s="4">
        <f ca="1">E72</f>
        <v>28.799999999999997</v>
      </c>
    </row>
    <row r="73" spans="1:8">
      <c r="A73" s="17" t="s">
        <v>85</v>
      </c>
      <c r="B73" s="100">
        <f ca="1">VLOOKUP(A73,'Listing Inventory'!$B$5:$D$642,3,FALSE)</f>
        <v>0</v>
      </c>
      <c r="C73" s="6">
        <v>2</v>
      </c>
      <c r="D73" s="4"/>
      <c r="E73" s="4"/>
      <c r="G73" s="68" t="s">
        <v>85</v>
      </c>
      <c r="H73" s="4">
        <f ca="1">ROUNDDOWN((E72/2),0)</f>
        <v>14</v>
      </c>
    </row>
    <row r="74" spans="1:8">
      <c r="A74" s="17" t="s">
        <v>86</v>
      </c>
      <c r="B74" s="100">
        <f ca="1">VLOOKUP(A74,'Listing Inventory'!$B$5:$D$642,3,FALSE)</f>
        <v>0</v>
      </c>
      <c r="C74" s="6">
        <v>4</v>
      </c>
      <c r="D74" s="4"/>
      <c r="E74" s="4"/>
      <c r="G74" s="68" t="s">
        <v>86</v>
      </c>
      <c r="H74" s="4">
        <f ca="1">ROUNDDOWN((E72/4),0)</f>
        <v>7</v>
      </c>
    </row>
    <row r="75" spans="1:8">
      <c r="A75" s="17" t="s">
        <v>87</v>
      </c>
      <c r="B75" s="100">
        <f ca="1">VLOOKUP(A75,'Listing Inventory'!$B$5:$D$642,3,FALSE)</f>
        <v>4.8</v>
      </c>
      <c r="C75" s="6">
        <v>6</v>
      </c>
      <c r="D75" s="4"/>
      <c r="E75" s="4"/>
      <c r="G75" s="68" t="s">
        <v>87</v>
      </c>
      <c r="H75" s="4">
        <f ca="1">ROUNDDOWN((E72/6),0)</f>
        <v>4</v>
      </c>
    </row>
    <row r="76" spans="1:8">
      <c r="A76" s="4"/>
      <c r="B76" s="100"/>
      <c r="D76" s="4"/>
      <c r="E76" s="4"/>
      <c r="G76" s="4"/>
      <c r="H76" s="4"/>
    </row>
    <row r="77" spans="1:8">
      <c r="A77" s="65"/>
      <c r="B77" s="100"/>
      <c r="C77" s="66"/>
      <c r="D77" s="65"/>
      <c r="E77" s="65"/>
      <c r="F77" s="66"/>
      <c r="G77" s="65"/>
      <c r="H77" s="4"/>
    </row>
    <row r="78" spans="1:8">
      <c r="A78" s="4"/>
      <c r="B78" s="100"/>
      <c r="D78" s="4"/>
      <c r="E78" s="4"/>
      <c r="G78" s="4"/>
      <c r="H78" s="4"/>
    </row>
    <row r="79" spans="1:8">
      <c r="A79" s="17" t="s">
        <v>337</v>
      </c>
      <c r="B79" s="100">
        <f ca="1">VLOOKUP(A79,'Listing Inventory'!$B$5:$D$642,3,FALSE)</f>
        <v>0</v>
      </c>
      <c r="C79" s="6">
        <v>1</v>
      </c>
      <c r="D79" s="4" t="s">
        <v>337</v>
      </c>
      <c r="E79" s="4">
        <f ca="1">SUMPRODUCT(B79:B82,C79:C82)</f>
        <v>0</v>
      </c>
      <c r="G79" s="68" t="s">
        <v>337</v>
      </c>
      <c r="H79" s="4">
        <f ca="1">E79</f>
        <v>0</v>
      </c>
    </row>
    <row r="80" spans="1:8">
      <c r="A80" s="17" t="s">
        <v>88</v>
      </c>
      <c r="B80" s="100">
        <f ca="1">VLOOKUP(A80,'Listing Inventory'!$B$5:$D$642,3,FALSE)</f>
        <v>0</v>
      </c>
      <c r="C80" s="6">
        <v>2</v>
      </c>
      <c r="D80" s="4"/>
      <c r="E80" s="4"/>
      <c r="G80" s="68" t="s">
        <v>88</v>
      </c>
      <c r="H80" s="4">
        <f ca="1">ROUNDDOWN((E79/2),0)</f>
        <v>0</v>
      </c>
    </row>
    <row r="81" spans="1:8">
      <c r="A81" s="17" t="s">
        <v>89</v>
      </c>
      <c r="B81" s="100">
        <f ca="1">VLOOKUP(A81,'Listing Inventory'!$B$5:$D$642,3,FALSE)</f>
        <v>0</v>
      </c>
      <c r="C81" s="6">
        <v>4</v>
      </c>
      <c r="D81" s="4"/>
      <c r="E81" s="4"/>
      <c r="G81" s="68" t="s">
        <v>89</v>
      </c>
      <c r="H81" s="4">
        <f ca="1">ROUNDDOWN((E79/4),0)</f>
        <v>0</v>
      </c>
    </row>
    <row r="82" spans="1:8">
      <c r="A82" s="17" t="s">
        <v>90</v>
      </c>
      <c r="B82" s="100">
        <f ca="1">VLOOKUP(A82,'Listing Inventory'!$B$5:$D$642,3,FALSE)</f>
        <v>0</v>
      </c>
      <c r="C82" s="6">
        <v>6</v>
      </c>
      <c r="D82" s="4"/>
      <c r="E82" s="4"/>
      <c r="G82" s="68" t="s">
        <v>90</v>
      </c>
      <c r="H82" s="4">
        <f ca="1">ROUNDDOWN((E79/6),0)</f>
        <v>0</v>
      </c>
    </row>
    <row r="83" spans="1:8">
      <c r="A83" s="17"/>
      <c r="B83" s="100"/>
      <c r="D83" s="4"/>
      <c r="E83" s="4"/>
      <c r="G83" s="68"/>
      <c r="H83" s="4"/>
    </row>
    <row r="84" spans="1:8">
      <c r="A84" s="65"/>
      <c r="B84" s="100"/>
      <c r="C84" s="66"/>
      <c r="D84" s="65"/>
      <c r="E84" s="65"/>
      <c r="F84" s="66"/>
      <c r="G84" s="65"/>
      <c r="H84" s="4"/>
    </row>
    <row r="85" spans="1:8">
      <c r="A85" s="14"/>
      <c r="B85" s="100"/>
      <c r="D85" s="4"/>
      <c r="E85" s="4"/>
      <c r="G85" s="14"/>
      <c r="H85" s="4"/>
    </row>
    <row r="86" spans="1:8">
      <c r="A86" s="14" t="s">
        <v>91</v>
      </c>
      <c r="B86" s="100">
        <f ca="1">VLOOKUP(A86,'Listing Inventory'!$B$5:$D$642,3,FALSE)</f>
        <v>0</v>
      </c>
      <c r="D86" s="4" t="s">
        <v>92</v>
      </c>
      <c r="E86" s="4">
        <f ca="1">SUM(B86,B87)</f>
        <v>0</v>
      </c>
      <c r="G86" s="14" t="s">
        <v>91</v>
      </c>
      <c r="H86" s="4">
        <f ca="1">MIN(E86,E87)</f>
        <v>0</v>
      </c>
    </row>
    <row r="87" spans="1:8">
      <c r="A87" s="14" t="s">
        <v>92</v>
      </c>
      <c r="B87" s="100">
        <f ca="1">VLOOKUP(A87,'Listing Inventory'!$B$5:$D$642,3,FALSE)</f>
        <v>0</v>
      </c>
      <c r="D87" s="4" t="s">
        <v>772</v>
      </c>
      <c r="E87" s="4">
        <f ca="1">B86</f>
        <v>0</v>
      </c>
      <c r="G87" s="14" t="s">
        <v>92</v>
      </c>
      <c r="H87" s="4">
        <f ca="1">E86</f>
        <v>0</v>
      </c>
    </row>
    <row r="88" spans="1:8">
      <c r="A88" s="4"/>
      <c r="B88" s="100"/>
      <c r="D88" s="4"/>
      <c r="E88" s="4"/>
      <c r="G88" s="4"/>
      <c r="H88" s="4"/>
    </row>
    <row r="89" spans="1:8">
      <c r="A89" s="65"/>
      <c r="B89" s="100"/>
      <c r="C89" s="66"/>
      <c r="D89" s="65"/>
      <c r="E89" s="65"/>
      <c r="F89" s="66"/>
      <c r="G89" s="65"/>
      <c r="H89" s="4"/>
    </row>
    <row r="90" spans="1:8">
      <c r="A90" s="14"/>
      <c r="B90" s="100"/>
      <c r="C90" s="16"/>
      <c r="D90" s="14"/>
      <c r="E90" s="14"/>
      <c r="F90" s="16"/>
      <c r="G90" s="14"/>
      <c r="H90" s="4"/>
    </row>
    <row r="91" spans="1:8">
      <c r="A91" s="68" t="s">
        <v>95</v>
      </c>
      <c r="B91" s="100">
        <f ca="1">VLOOKUP(A91,'Listing Inventory'!$B$5:$D$642,3,FALSE)</f>
        <v>1</v>
      </c>
      <c r="C91" s="16"/>
      <c r="D91" s="14" t="s">
        <v>95</v>
      </c>
      <c r="E91" s="14">
        <f ca="1">SUM(B91,B93)</f>
        <v>1</v>
      </c>
      <c r="F91" s="16"/>
      <c r="G91" s="68" t="s">
        <v>95</v>
      </c>
      <c r="H91" s="4">
        <f ca="1">E91</f>
        <v>1</v>
      </c>
    </row>
    <row r="92" spans="1:8">
      <c r="A92" s="68" t="s">
        <v>23</v>
      </c>
      <c r="B92" s="100">
        <f ca="1">VLOOKUP(A92,'Listing Inventory'!$B$5:$D$642,3,FALSE)</f>
        <v>-2</v>
      </c>
      <c r="C92" s="16"/>
      <c r="D92" s="14" t="s">
        <v>23</v>
      </c>
      <c r="E92" s="14">
        <f ca="1">SUM(B92,B94)</f>
        <v>6</v>
      </c>
      <c r="F92" s="16"/>
      <c r="G92" s="68" t="s">
        <v>23</v>
      </c>
      <c r="H92" s="4">
        <f ca="1">E92</f>
        <v>6</v>
      </c>
    </row>
    <row r="93" spans="1:8">
      <c r="A93" s="68" t="s">
        <v>96</v>
      </c>
      <c r="B93" s="100">
        <f ca="1">VLOOKUP(A93,'Listing Inventory'!$B$5:$D$642,3,FALSE)</f>
        <v>0</v>
      </c>
      <c r="C93" s="16"/>
      <c r="D93" s="14" t="s">
        <v>767</v>
      </c>
      <c r="E93" s="14">
        <f ca="1">SUM(B94,B98,B97,B93)</f>
        <v>23</v>
      </c>
      <c r="F93" s="16"/>
      <c r="G93" s="68" t="s">
        <v>96</v>
      </c>
      <c r="H93" s="4">
        <f ca="1">MIN(E91,E93)</f>
        <v>1</v>
      </c>
    </row>
    <row r="94" spans="1:8">
      <c r="A94" s="68" t="s">
        <v>24</v>
      </c>
      <c r="B94" s="100">
        <f ca="1">VLOOKUP(A94,'Listing Inventory'!$B$5:$D$642,3,FALSE)</f>
        <v>8</v>
      </c>
      <c r="C94" s="16"/>
      <c r="D94" s="14" t="s">
        <v>343</v>
      </c>
      <c r="E94" s="14">
        <f ca="1">SUM(B95,B97)</f>
        <v>16</v>
      </c>
      <c r="F94" s="16"/>
      <c r="G94" s="68" t="s">
        <v>24</v>
      </c>
      <c r="H94" s="4">
        <f ca="1">MIN(E92,E93)</f>
        <v>6</v>
      </c>
    </row>
    <row r="95" spans="1:8">
      <c r="A95" s="68" t="s">
        <v>343</v>
      </c>
      <c r="B95" s="100">
        <f ca="1">VLOOKUP(A95,'Listing Inventory'!$B$5:$D$642,3,FALSE)</f>
        <v>16</v>
      </c>
      <c r="C95" s="16"/>
      <c r="D95" s="14" t="s">
        <v>21</v>
      </c>
      <c r="E95" s="14">
        <f ca="1">SUM(B96,B98)</f>
        <v>15</v>
      </c>
      <c r="F95" s="16"/>
      <c r="G95" s="68" t="s">
        <v>343</v>
      </c>
      <c r="H95" s="4">
        <f ca="1">E94</f>
        <v>16</v>
      </c>
    </row>
    <row r="96" spans="1:8">
      <c r="A96" s="68" t="s">
        <v>21</v>
      </c>
      <c r="B96" s="100">
        <f ca="1">VLOOKUP(A96,'Listing Inventory'!$B$5:$D$642,3,FALSE)</f>
        <v>0</v>
      </c>
      <c r="C96" s="16"/>
      <c r="D96" s="14"/>
      <c r="E96" s="14"/>
      <c r="F96" s="16"/>
      <c r="G96" s="68" t="s">
        <v>21</v>
      </c>
      <c r="H96" s="4">
        <f ca="1">E95</f>
        <v>15</v>
      </c>
    </row>
    <row r="97" spans="1:8">
      <c r="A97" s="68" t="s">
        <v>344</v>
      </c>
      <c r="B97" s="100">
        <f ca="1">VLOOKUP(A97,'Listing Inventory'!$B$5:$D$642,3,FALSE)</f>
        <v>0</v>
      </c>
      <c r="C97" s="16"/>
      <c r="D97" s="14" t="s">
        <v>785</v>
      </c>
      <c r="E97" s="14"/>
      <c r="F97" s="16"/>
      <c r="G97" s="68" t="s">
        <v>344</v>
      </c>
      <c r="H97" s="4">
        <f ca="1">MIN(E94,E93)</f>
        <v>16</v>
      </c>
    </row>
    <row r="98" spans="1:8">
      <c r="A98" s="68" t="s">
        <v>345</v>
      </c>
      <c r="B98" s="100">
        <f ca="1">VLOOKUP(A98,'Listing Inventory'!$B$5:$D$642,3,FALSE)</f>
        <v>15</v>
      </c>
      <c r="C98" s="16"/>
      <c r="D98" s="14" t="s">
        <v>786</v>
      </c>
      <c r="E98" s="14"/>
      <c r="F98" s="16"/>
      <c r="G98" s="68" t="s">
        <v>345</v>
      </c>
      <c r="H98" s="4">
        <f ca="1">MIN(E95,E93)</f>
        <v>15</v>
      </c>
    </row>
    <row r="99" spans="1:8">
      <c r="A99" s="14"/>
      <c r="B99" s="100"/>
      <c r="C99" s="16"/>
      <c r="D99" s="14"/>
      <c r="E99" s="14"/>
      <c r="F99" s="16"/>
      <c r="G99" s="14"/>
      <c r="H99" s="4"/>
    </row>
    <row r="100" spans="1:8">
      <c r="A100" s="14"/>
      <c r="B100" s="100"/>
      <c r="C100" s="16"/>
      <c r="D100" s="14"/>
      <c r="E100" s="14"/>
      <c r="F100" s="16"/>
      <c r="G100" s="14"/>
      <c r="H100" s="4"/>
    </row>
    <row r="101" spans="1:8">
      <c r="A101" s="65"/>
      <c r="B101" s="100"/>
      <c r="C101" s="66"/>
      <c r="D101" s="65"/>
      <c r="E101" s="65"/>
      <c r="F101" s="66"/>
      <c r="G101" s="65"/>
      <c r="H101" s="4"/>
    </row>
    <row r="102" spans="1:8">
      <c r="A102" s="4"/>
      <c r="B102" s="100"/>
      <c r="D102" s="4"/>
      <c r="E102" s="4"/>
      <c r="G102" s="4"/>
      <c r="H102" s="4"/>
    </row>
    <row r="103" spans="1:8">
      <c r="A103" s="17" t="s">
        <v>102</v>
      </c>
      <c r="B103" s="100">
        <f ca="1">VLOOKUP(A103,'Listing Inventory'!$B$5:$D$642,3,FALSE)</f>
        <v>0</v>
      </c>
      <c r="C103" s="6">
        <v>1</v>
      </c>
      <c r="D103" s="4" t="s">
        <v>629</v>
      </c>
      <c r="E103" s="4">
        <f ca="1">SUMPRODUCT(B103:B104,C103:C104)</f>
        <v>36</v>
      </c>
      <c r="G103" s="68" t="s">
        <v>102</v>
      </c>
      <c r="H103" s="4">
        <f ca="1">E103</f>
        <v>36</v>
      </c>
    </row>
    <row r="104" spans="1:8">
      <c r="A104" s="17" t="s">
        <v>103</v>
      </c>
      <c r="B104" s="100">
        <f ca="1">VLOOKUP(A104,'Listing Inventory'!$B$5:$D$642,3,FALSE)</f>
        <v>18</v>
      </c>
      <c r="C104" s="6">
        <v>2</v>
      </c>
      <c r="D104" s="4"/>
      <c r="E104" s="4"/>
      <c r="G104" s="68" t="s">
        <v>103</v>
      </c>
      <c r="H104" s="4">
        <f ca="1">ROUNDDOWN((E103/2),0)</f>
        <v>18</v>
      </c>
    </row>
    <row r="105" spans="1:8">
      <c r="A105" s="4"/>
      <c r="B105" s="100"/>
      <c r="D105" s="4"/>
      <c r="E105" s="4"/>
      <c r="G105" s="4"/>
      <c r="H105" s="4"/>
    </row>
    <row r="106" spans="1:8">
      <c r="A106" s="65"/>
      <c r="B106" s="100"/>
      <c r="C106" s="66"/>
      <c r="D106" s="65"/>
      <c r="E106" s="65"/>
      <c r="F106" s="66"/>
      <c r="G106" s="65"/>
      <c r="H106" s="4"/>
    </row>
    <row r="107" spans="1:8">
      <c r="A107" s="4"/>
      <c r="B107" s="100"/>
      <c r="D107" s="4"/>
      <c r="E107" s="4"/>
      <c r="G107" s="4"/>
      <c r="H107" s="4"/>
    </row>
    <row r="108" spans="1:8">
      <c r="A108" s="14" t="s">
        <v>104</v>
      </c>
      <c r="B108" s="100">
        <f ca="1">VLOOKUP(A108,'Listing Inventory'!$B$5:$D$642,3,FALSE)</f>
        <v>0</v>
      </c>
      <c r="C108" s="6">
        <v>1</v>
      </c>
      <c r="D108" s="14" t="s">
        <v>630</v>
      </c>
      <c r="E108" s="4">
        <f ca="1">SUMPRODUCT(B108:B109,C108:C109)</f>
        <v>2</v>
      </c>
      <c r="G108" s="68" t="s">
        <v>104</v>
      </c>
      <c r="H108" s="4">
        <f ca="1">E108</f>
        <v>2</v>
      </c>
    </row>
    <row r="109" spans="1:8">
      <c r="A109" s="14" t="s">
        <v>105</v>
      </c>
      <c r="B109" s="100">
        <f ca="1">VLOOKUP(A109,'Listing Inventory'!$B$5:$D$642,3,FALSE)</f>
        <v>1</v>
      </c>
      <c r="C109" s="6">
        <v>2</v>
      </c>
      <c r="D109" s="35"/>
      <c r="E109" s="4"/>
      <c r="G109" s="68" t="s">
        <v>105</v>
      </c>
      <c r="H109" s="4">
        <f ca="1">ROUNDDOWN((E108/2),0)</f>
        <v>1</v>
      </c>
    </row>
    <row r="110" spans="1:8">
      <c r="A110" s="4"/>
      <c r="B110" s="100"/>
      <c r="D110" s="4"/>
      <c r="E110" s="4"/>
      <c r="G110" s="4"/>
      <c r="H110" s="4"/>
    </row>
    <row r="111" spans="1:8">
      <c r="A111" s="65"/>
      <c r="B111" s="100"/>
      <c r="C111" s="66"/>
      <c r="D111" s="65"/>
      <c r="E111" s="65"/>
      <c r="F111" s="66"/>
      <c r="G111" s="65"/>
      <c r="H111" s="4"/>
    </row>
    <row r="112" spans="1:8">
      <c r="A112" s="4"/>
      <c r="B112" s="100"/>
      <c r="D112" s="4"/>
      <c r="E112" s="4"/>
      <c r="G112" s="4"/>
      <c r="H112" s="4"/>
    </row>
    <row r="113" spans="1:8">
      <c r="A113" s="68" t="s">
        <v>106</v>
      </c>
      <c r="B113" s="100">
        <f ca="1">VLOOKUP(A113,'Listing Inventory'!$B$5:$D$642,3,FALSE)</f>
        <v>2</v>
      </c>
      <c r="C113" s="6">
        <v>1</v>
      </c>
      <c r="D113" s="4" t="s">
        <v>631</v>
      </c>
      <c r="E113" s="4">
        <f ca="1">SUMPRODUCT(B113:B114,C113:C114)</f>
        <v>78</v>
      </c>
      <c r="G113" s="68" t="s">
        <v>106</v>
      </c>
      <c r="H113" s="4">
        <f ca="1">E113</f>
        <v>78</v>
      </c>
    </row>
    <row r="114" spans="1:8">
      <c r="A114" s="68" t="s">
        <v>107</v>
      </c>
      <c r="B114" s="100">
        <f ca="1">VLOOKUP(A114,'Listing Inventory'!$B$5:$D$642,3,FALSE)</f>
        <v>38</v>
      </c>
      <c r="C114" s="6">
        <v>2</v>
      </c>
      <c r="D114" s="4" t="s">
        <v>632</v>
      </c>
      <c r="E114" s="4">
        <f ca="1">SUMPRODUCT(B115:B116,C115:C116)</f>
        <v>48</v>
      </c>
      <c r="G114" s="68" t="s">
        <v>107</v>
      </c>
      <c r="H114" s="4">
        <f ca="1">ROUNDDOWN((E113/2),0)</f>
        <v>39</v>
      </c>
    </row>
    <row r="115" spans="1:8">
      <c r="A115" s="68" t="s">
        <v>108</v>
      </c>
      <c r="B115" s="100">
        <f ca="1">VLOOKUP(A115,'Listing Inventory'!$B$5:$D$642,3,FALSE)</f>
        <v>0</v>
      </c>
      <c r="C115" s="6">
        <v>1</v>
      </c>
      <c r="D115" s="4"/>
      <c r="E115" s="4"/>
      <c r="G115" s="68" t="s">
        <v>108</v>
      </c>
      <c r="H115" s="4">
        <f ca="1">E114</f>
        <v>48</v>
      </c>
    </row>
    <row r="116" spans="1:8">
      <c r="A116" s="68" t="s">
        <v>109</v>
      </c>
      <c r="B116" s="100">
        <f ca="1">VLOOKUP(A116,'Listing Inventory'!$B$5:$D$642,3,FALSE)</f>
        <v>24</v>
      </c>
      <c r="C116" s="6">
        <v>2</v>
      </c>
      <c r="D116" s="4"/>
      <c r="E116" s="4"/>
      <c r="G116" s="68" t="s">
        <v>109</v>
      </c>
      <c r="H116" s="4">
        <f ca="1">ROUNDDOWN((E114/2),0)</f>
        <v>24</v>
      </c>
    </row>
    <row r="117" spans="1:8">
      <c r="A117" s="4"/>
      <c r="B117" s="100"/>
      <c r="D117" s="4"/>
      <c r="E117" s="4"/>
      <c r="G117" s="4"/>
      <c r="H117" s="4"/>
    </row>
    <row r="118" spans="1:8">
      <c r="A118" s="65"/>
      <c r="B118" s="100"/>
      <c r="C118" s="66"/>
      <c r="D118" s="65"/>
      <c r="E118" s="65"/>
      <c r="F118" s="66"/>
      <c r="G118" s="65"/>
      <c r="H118" s="4"/>
    </row>
    <row r="119" spans="1:8">
      <c r="A119" s="4"/>
      <c r="B119" s="100"/>
      <c r="D119" s="4"/>
      <c r="E119" s="4"/>
      <c r="G119" s="4"/>
      <c r="H119" s="4"/>
    </row>
    <row r="120" spans="1:8">
      <c r="A120" s="68" t="s">
        <v>110</v>
      </c>
      <c r="B120" s="100">
        <f ca="1">VLOOKUP(A120,'Listing Inventory'!$B$5:$D$642,3,FALSE)</f>
        <v>0</v>
      </c>
      <c r="C120" s="6">
        <v>1</v>
      </c>
      <c r="D120" s="4" t="s">
        <v>607</v>
      </c>
      <c r="E120" s="4">
        <f ca="1">SUMPRODUCT(B120:B122,C120:C122)</f>
        <v>14</v>
      </c>
      <c r="G120" s="68" t="s">
        <v>110</v>
      </c>
      <c r="H120" s="4">
        <f ca="1">E120</f>
        <v>14</v>
      </c>
    </row>
    <row r="121" spans="1:8">
      <c r="A121" s="68" t="s">
        <v>111</v>
      </c>
      <c r="B121" s="100">
        <f ca="1">VLOOKUP(A121,'Listing Inventory'!$B$5:$D$642,3,FALSE)</f>
        <v>5</v>
      </c>
      <c r="C121" s="6">
        <v>2</v>
      </c>
      <c r="D121" s="4" t="s">
        <v>615</v>
      </c>
      <c r="E121" s="4">
        <f ca="1">SUMPRODUCT(B123:B125,C123:C125)</f>
        <v>106</v>
      </c>
      <c r="G121" s="68" t="s">
        <v>111</v>
      </c>
      <c r="H121" s="4">
        <f ca="1">ROUNDDOWN((E120/2),0)</f>
        <v>7</v>
      </c>
    </row>
    <row r="122" spans="1:8">
      <c r="A122" s="68" t="s">
        <v>13</v>
      </c>
      <c r="B122" s="100">
        <f ca="1">VLOOKUP(A122,'Listing Inventory'!$B$5:$D$642,3,FALSE)</f>
        <v>1</v>
      </c>
      <c r="C122" s="6">
        <v>4</v>
      </c>
      <c r="D122" s="4" t="s">
        <v>603</v>
      </c>
      <c r="E122" s="4">
        <f ca="1">SUMPRODUCT(B126:B128,C126:C128)</f>
        <v>1</v>
      </c>
      <c r="G122" s="68" t="s">
        <v>13</v>
      </c>
      <c r="H122" s="4">
        <f ca="1">ROUNDDOWN((E120/4),0)</f>
        <v>3</v>
      </c>
    </row>
    <row r="123" spans="1:8">
      <c r="A123" s="68" t="s">
        <v>112</v>
      </c>
      <c r="B123" s="100">
        <f ca="1">VLOOKUP(A123,'Listing Inventory'!$B$5:$D$642,3,FALSE)</f>
        <v>0</v>
      </c>
      <c r="C123" s="6">
        <v>1</v>
      </c>
      <c r="D123" s="4" t="s">
        <v>604</v>
      </c>
      <c r="E123" s="4">
        <f ca="1">SUMPRODUCT(B129:B131,C129:C131)</f>
        <v>10</v>
      </c>
      <c r="G123" s="68" t="s">
        <v>112</v>
      </c>
      <c r="H123" s="4">
        <f ca="1">E121</f>
        <v>106</v>
      </c>
    </row>
    <row r="124" spans="1:8">
      <c r="A124" s="68" t="s">
        <v>53</v>
      </c>
      <c r="B124" s="100">
        <f ca="1">VLOOKUP(A124,'Listing Inventory'!$B$5:$D$642,3,FALSE)</f>
        <v>13</v>
      </c>
      <c r="C124" s="6">
        <v>2</v>
      </c>
      <c r="D124" s="4"/>
      <c r="E124" s="4"/>
      <c r="G124" s="68" t="s">
        <v>53</v>
      </c>
      <c r="H124" s="4">
        <f ca="1">ROUNDDOWN((E121/2),0)</f>
        <v>53</v>
      </c>
    </row>
    <row r="125" spans="1:8">
      <c r="A125" s="68" t="s">
        <v>65</v>
      </c>
      <c r="B125" s="100">
        <f ca="1">VLOOKUP(A125,'Listing Inventory'!$B$5:$D$642,3,FALSE)</f>
        <v>20</v>
      </c>
      <c r="C125" s="6">
        <v>4</v>
      </c>
      <c r="D125" s="4"/>
      <c r="E125" s="4"/>
      <c r="G125" s="68" t="s">
        <v>65</v>
      </c>
      <c r="H125" s="4">
        <f ca="1">ROUNDDOWN((E121/4),0)</f>
        <v>26</v>
      </c>
    </row>
    <row r="126" spans="1:8">
      <c r="A126" s="68" t="s">
        <v>113</v>
      </c>
      <c r="B126" s="100">
        <f ca="1">VLOOKUP(A126,'Listing Inventory'!$B$5:$D$642,3,FALSE)</f>
        <v>0</v>
      </c>
      <c r="C126" s="6">
        <v>1</v>
      </c>
      <c r="D126" s="4"/>
      <c r="E126" s="4"/>
      <c r="G126" s="68" t="s">
        <v>113</v>
      </c>
      <c r="H126" s="4">
        <f ca="1">E122</f>
        <v>1</v>
      </c>
    </row>
    <row r="127" spans="1:8">
      <c r="A127" s="68" t="s">
        <v>114</v>
      </c>
      <c r="B127" s="100">
        <f ca="1">VLOOKUP(A127,'Listing Inventory'!$B$5:$D$642,3,FALSE)</f>
        <v>0</v>
      </c>
      <c r="C127" s="6">
        <v>2</v>
      </c>
      <c r="D127" s="4"/>
      <c r="E127" s="4"/>
      <c r="G127" s="68" t="s">
        <v>114</v>
      </c>
      <c r="H127" s="4">
        <f ca="1">ROUNDDOWN((E122/2),0)</f>
        <v>0</v>
      </c>
    </row>
    <row r="128" spans="1:8">
      <c r="A128" s="68" t="s">
        <v>38</v>
      </c>
      <c r="B128" s="100">
        <f ca="1">VLOOKUP(A128,'Listing Inventory'!$B$5:$D$642,3,FALSE)</f>
        <v>0.25</v>
      </c>
      <c r="C128" s="6">
        <v>4</v>
      </c>
      <c r="D128" s="4"/>
      <c r="E128" s="4"/>
      <c r="G128" s="68" t="s">
        <v>38</v>
      </c>
      <c r="H128" s="4">
        <f ca="1">ROUNDDOWN((E122/4),0)</f>
        <v>0</v>
      </c>
    </row>
    <row r="129" spans="1:8">
      <c r="A129" s="68" t="s">
        <v>118</v>
      </c>
      <c r="B129" s="100">
        <f ca="1">VLOOKUP(A129,'Listing Inventory'!$B$5:$D$642,3,FALSE)</f>
        <v>0</v>
      </c>
      <c r="C129" s="6">
        <v>1</v>
      </c>
      <c r="D129" s="4"/>
      <c r="E129" s="4"/>
      <c r="G129" s="68" t="s">
        <v>118</v>
      </c>
      <c r="H129" s="4">
        <f ca="1">E123</f>
        <v>10</v>
      </c>
    </row>
    <row r="130" spans="1:8">
      <c r="A130" s="68" t="s">
        <v>119</v>
      </c>
      <c r="B130" s="100">
        <f ca="1">VLOOKUP(A130,'Listing Inventory'!$B$5:$D$642,3,FALSE)</f>
        <v>5</v>
      </c>
      <c r="C130" s="6">
        <v>2</v>
      </c>
      <c r="D130" s="4"/>
      <c r="E130" s="4"/>
      <c r="G130" s="68" t="s">
        <v>119</v>
      </c>
      <c r="H130" s="4">
        <f ca="1">ROUNDDOWN((E123/2),0)</f>
        <v>5</v>
      </c>
    </row>
    <row r="131" spans="1:8">
      <c r="A131" s="68" t="s">
        <v>37</v>
      </c>
      <c r="B131" s="100">
        <f ca="1">VLOOKUP(A131,'Listing Inventory'!$B$5:$D$642,3,FALSE)</f>
        <v>0</v>
      </c>
      <c r="C131" s="6">
        <v>4</v>
      </c>
      <c r="D131" s="4"/>
      <c r="E131" s="4"/>
      <c r="G131" s="68" t="s">
        <v>37</v>
      </c>
      <c r="H131" s="4">
        <f ca="1">ROUNDDOWN((E123/4),0)</f>
        <v>2</v>
      </c>
    </row>
    <row r="132" spans="1:8">
      <c r="A132" s="4"/>
      <c r="B132" s="100"/>
      <c r="D132" s="4"/>
      <c r="E132" s="4"/>
      <c r="G132" s="4"/>
      <c r="H132" s="4"/>
    </row>
    <row r="133" spans="1:8">
      <c r="A133" s="65"/>
      <c r="B133" s="100"/>
      <c r="C133" s="66"/>
      <c r="D133" s="65"/>
      <c r="E133" s="65"/>
      <c r="F133" s="66"/>
      <c r="G133" s="65"/>
      <c r="H133" s="4"/>
    </row>
    <row r="134" spans="1:8">
      <c r="A134" s="4"/>
      <c r="B134" s="100"/>
      <c r="D134" s="4"/>
      <c r="E134" s="4"/>
      <c r="G134" s="4"/>
      <c r="H134" s="4"/>
    </row>
    <row r="135" spans="1:8">
      <c r="A135" s="37" t="s">
        <v>680</v>
      </c>
      <c r="B135" s="100">
        <f ca="1">VLOOKUP(A135,'Listing Inventory'!$B$5:$D$642,3,FALSE)</f>
        <v>0</v>
      </c>
      <c r="C135" s="6">
        <v>1</v>
      </c>
      <c r="D135" s="4" t="s">
        <v>634</v>
      </c>
      <c r="E135" s="4">
        <f ca="1">SUMPRODUCT(B135:B137,C135:C137)</f>
        <v>10</v>
      </c>
      <c r="G135" s="37" t="s">
        <v>680</v>
      </c>
      <c r="H135" s="4">
        <f ca="1">E135</f>
        <v>10</v>
      </c>
    </row>
    <row r="136" spans="1:8">
      <c r="A136" s="68" t="s">
        <v>120</v>
      </c>
      <c r="B136" s="100">
        <f ca="1">VLOOKUP(A136,'Listing Inventory'!$B$5:$D$642,3,FALSE)</f>
        <v>5</v>
      </c>
      <c r="C136" s="6">
        <v>2</v>
      </c>
      <c r="D136" s="4" t="s">
        <v>618</v>
      </c>
      <c r="E136" s="4">
        <f ca="1">SUMPRODUCT(B138:B140,C138:C140)</f>
        <v>332</v>
      </c>
      <c r="G136" s="68" t="s">
        <v>120</v>
      </c>
      <c r="H136" s="4">
        <f ca="1">ROUNDDOWN((E135/2),0)</f>
        <v>5</v>
      </c>
    </row>
    <row r="137" spans="1:8">
      <c r="A137" s="68" t="s">
        <v>279</v>
      </c>
      <c r="B137" s="100">
        <f ca="1">VLOOKUP(A137,'Listing Inventory'!$B$5:$D$642,3,FALSE)</f>
        <v>0</v>
      </c>
      <c r="C137" s="6">
        <v>4</v>
      </c>
      <c r="D137" s="4" t="s">
        <v>635</v>
      </c>
      <c r="E137" s="4">
        <f ca="1">SUMPRODUCT(B141:B143,C141:C143)</f>
        <v>0</v>
      </c>
      <c r="G137" s="68" t="s">
        <v>279</v>
      </c>
      <c r="H137" s="4">
        <f ca="1">ROUNDDOWN((E135/4),0)</f>
        <v>2</v>
      </c>
    </row>
    <row r="138" spans="1:8">
      <c r="A138" s="68" t="s">
        <v>681</v>
      </c>
      <c r="B138" s="100">
        <f ca="1">VLOOKUP(A138,'Listing Inventory'!$B$5:$D$642,3,FALSE)</f>
        <v>0</v>
      </c>
      <c r="C138" s="6">
        <v>1</v>
      </c>
      <c r="D138" s="4" t="s">
        <v>602</v>
      </c>
      <c r="E138" s="4">
        <f ca="1">SUMPRODUCT(B144:B146,C144:C146)</f>
        <v>10</v>
      </c>
      <c r="G138" s="68" t="s">
        <v>681</v>
      </c>
      <c r="H138" s="4">
        <f ca="1">E136</f>
        <v>332</v>
      </c>
    </row>
    <row r="139" spans="1:8">
      <c r="A139" s="68" t="s">
        <v>40</v>
      </c>
      <c r="B139" s="100">
        <f ca="1">VLOOKUP(A139,'Listing Inventory'!$B$5:$D$642,3,FALSE)</f>
        <v>37.5</v>
      </c>
      <c r="C139" s="6">
        <v>2</v>
      </c>
      <c r="D139" s="4"/>
      <c r="E139" s="4"/>
      <c r="G139" s="68" t="s">
        <v>40</v>
      </c>
      <c r="H139" s="4">
        <f ca="1">ROUNDDOWN((E136/2),0)</f>
        <v>166</v>
      </c>
    </row>
    <row r="140" spans="1:8">
      <c r="A140" s="68" t="s">
        <v>39</v>
      </c>
      <c r="B140" s="100">
        <f ca="1">VLOOKUP(A140,'Listing Inventory'!$B$5:$D$642,3,FALSE)</f>
        <v>64.25</v>
      </c>
      <c r="C140" s="6">
        <v>4</v>
      </c>
      <c r="D140" s="4"/>
      <c r="E140" s="4"/>
      <c r="G140" s="68" t="s">
        <v>39</v>
      </c>
      <c r="H140" s="4">
        <f ca="1">ROUNDDOWN((E136/4),0)</f>
        <v>83</v>
      </c>
    </row>
    <row r="141" spans="1:8">
      <c r="A141" s="68" t="s">
        <v>682</v>
      </c>
      <c r="B141" s="100">
        <f ca="1">VLOOKUP(A141,'Listing Inventory'!$B$5:$D$642,3,FALSE)</f>
        <v>0</v>
      </c>
      <c r="C141" s="6">
        <v>1</v>
      </c>
      <c r="D141" s="4"/>
      <c r="E141" s="4"/>
      <c r="G141" s="68" t="s">
        <v>682</v>
      </c>
      <c r="H141" s="4">
        <f ca="1">E137</f>
        <v>0</v>
      </c>
    </row>
    <row r="142" spans="1:8">
      <c r="A142" s="68" t="s">
        <v>121</v>
      </c>
      <c r="B142" s="100">
        <f ca="1">VLOOKUP(A142,'Listing Inventory'!$B$5:$D$642,3,FALSE)</f>
        <v>0</v>
      </c>
      <c r="C142" s="6">
        <v>2</v>
      </c>
      <c r="D142" s="4"/>
      <c r="E142" s="4"/>
      <c r="G142" s="68" t="s">
        <v>121</v>
      </c>
      <c r="H142" s="4">
        <f ca="1">ROUNDDOWN((E137/2),0)</f>
        <v>0</v>
      </c>
    </row>
    <row r="143" spans="1:8">
      <c r="A143" s="68" t="s">
        <v>122</v>
      </c>
      <c r="B143" s="100">
        <f ca="1">VLOOKUP(A143,'Listing Inventory'!$B$5:$D$642,3,FALSE)</f>
        <v>0</v>
      </c>
      <c r="C143" s="6">
        <v>4</v>
      </c>
      <c r="D143" s="4"/>
      <c r="E143" s="4"/>
      <c r="G143" s="68" t="s">
        <v>122</v>
      </c>
      <c r="H143" s="4">
        <f ca="1">ROUNDDOWN((E137/4),0)</f>
        <v>0</v>
      </c>
    </row>
    <row r="144" spans="1:8">
      <c r="A144" s="68" t="s">
        <v>683</v>
      </c>
      <c r="B144" s="100">
        <f ca="1">VLOOKUP(A144,'Listing Inventory'!$B$5:$D$642,3,FALSE)</f>
        <v>0</v>
      </c>
      <c r="C144" s="6">
        <v>1</v>
      </c>
      <c r="D144" s="4"/>
      <c r="E144" s="4"/>
      <c r="G144" s="68" t="s">
        <v>683</v>
      </c>
      <c r="H144" s="4">
        <f ca="1">E138</f>
        <v>10</v>
      </c>
    </row>
    <row r="145" spans="1:8">
      <c r="A145" s="68" t="s">
        <v>351</v>
      </c>
      <c r="B145" s="100">
        <f ca="1">VLOOKUP(A145,'Listing Inventory'!$B$5:$D$642,3,FALSE)</f>
        <v>5</v>
      </c>
      <c r="C145" s="6">
        <v>2</v>
      </c>
      <c r="D145" s="4"/>
      <c r="E145" s="4"/>
      <c r="G145" s="68" t="s">
        <v>351</v>
      </c>
      <c r="H145" s="4">
        <f ca="1">ROUNDDOWN((E138/2),0)</f>
        <v>5</v>
      </c>
    </row>
    <row r="146" spans="1:8">
      <c r="A146" s="68" t="s">
        <v>14</v>
      </c>
      <c r="B146" s="100">
        <f ca="1">VLOOKUP(A146,'Listing Inventory'!$B$5:$D$642,3,FALSE)</f>
        <v>0</v>
      </c>
      <c r="C146" s="6">
        <v>4</v>
      </c>
      <c r="D146" s="4"/>
      <c r="E146" s="4"/>
      <c r="G146" s="68" t="s">
        <v>14</v>
      </c>
      <c r="H146" s="4">
        <f ca="1">ROUNDDOWN((E138/4),0)</f>
        <v>2</v>
      </c>
    </row>
    <row r="147" spans="1:8">
      <c r="A147" s="4"/>
      <c r="B147" s="100"/>
      <c r="D147" s="4"/>
      <c r="E147" s="4"/>
      <c r="G147" s="4"/>
      <c r="H147" s="4"/>
    </row>
    <row r="148" spans="1:8">
      <c r="A148" s="65"/>
      <c r="B148" s="100"/>
      <c r="C148" s="66"/>
      <c r="D148" s="65"/>
      <c r="E148" s="65"/>
      <c r="F148" s="66"/>
      <c r="G148" s="65"/>
      <c r="H148" s="4"/>
    </row>
    <row r="149" spans="1:8">
      <c r="A149" s="4"/>
      <c r="B149" s="100"/>
      <c r="D149" s="4"/>
      <c r="E149" s="4"/>
      <c r="G149" s="4"/>
      <c r="H149" s="4"/>
    </row>
    <row r="150" spans="1:8">
      <c r="A150" s="68" t="s">
        <v>115</v>
      </c>
      <c r="B150" s="100">
        <f ca="1">VLOOKUP(A150,'Listing Inventory'!$B$5:$D$642,3,FALSE)</f>
        <v>0</v>
      </c>
      <c r="C150" s="6">
        <v>1</v>
      </c>
      <c r="D150" s="4" t="s">
        <v>633</v>
      </c>
      <c r="E150" s="4">
        <f ca="1">SUMPRODUCT(B150:B152,C150:C152)</f>
        <v>0</v>
      </c>
      <c r="G150" s="68" t="s">
        <v>115</v>
      </c>
      <c r="H150" s="4">
        <f ca="1">E150</f>
        <v>0</v>
      </c>
    </row>
    <row r="151" spans="1:8">
      <c r="A151" s="68" t="s">
        <v>116</v>
      </c>
      <c r="B151" s="100">
        <f ca="1">VLOOKUP(A151,'Listing Inventory'!$B$5:$D$642,3,FALSE)</f>
        <v>0</v>
      </c>
      <c r="C151" s="6">
        <v>2</v>
      </c>
      <c r="D151" s="4" t="s">
        <v>636</v>
      </c>
      <c r="E151" s="4">
        <f ca="1">SUMPRODUCT(B153:B155,C153:C155)</f>
        <v>18</v>
      </c>
      <c r="G151" s="68" t="s">
        <v>116</v>
      </c>
      <c r="H151" s="4">
        <f ca="1">ROUNDDOWN((E150/2),0)</f>
        <v>0</v>
      </c>
    </row>
    <row r="152" spans="1:8">
      <c r="A152" s="68" t="s">
        <v>117</v>
      </c>
      <c r="B152" s="100">
        <f ca="1">VLOOKUP(A152,'Listing Inventory'!$B$5:$D$642,3,FALSE)</f>
        <v>0</v>
      </c>
      <c r="C152" s="6">
        <v>4</v>
      </c>
      <c r="D152" s="4" t="s">
        <v>637</v>
      </c>
      <c r="E152" s="4">
        <f ca="1">SUMPRODUCT(B156:B158,C156:C158)</f>
        <v>0</v>
      </c>
      <c r="G152" s="68" t="s">
        <v>117</v>
      </c>
      <c r="H152" s="4">
        <f ca="1">ROUNDDOWN((E150/4),0)</f>
        <v>0</v>
      </c>
    </row>
    <row r="153" spans="1:8">
      <c r="A153" s="68" t="s">
        <v>123</v>
      </c>
      <c r="B153" s="100">
        <f ca="1">VLOOKUP(A153,'Listing Inventory'!$B$5:$D$642,3,FALSE)</f>
        <v>0</v>
      </c>
      <c r="C153" s="6">
        <v>1</v>
      </c>
      <c r="D153" s="4" t="s">
        <v>638</v>
      </c>
      <c r="E153" s="4">
        <f ca="1">SUMPRODUCT(B159:B161,C159:C161)</f>
        <v>0</v>
      </c>
      <c r="G153" s="68" t="s">
        <v>123</v>
      </c>
      <c r="H153" s="4">
        <f ca="1">E151</f>
        <v>18</v>
      </c>
    </row>
    <row r="154" spans="1:8">
      <c r="A154" s="68" t="s">
        <v>352</v>
      </c>
      <c r="B154" s="100">
        <f ca="1">VLOOKUP(A154,'Listing Inventory'!$B$5:$D$642,3,FALSE)</f>
        <v>9</v>
      </c>
      <c r="C154" s="6">
        <v>2</v>
      </c>
      <c r="D154" s="4"/>
      <c r="E154" s="4"/>
      <c r="G154" s="68" t="s">
        <v>352</v>
      </c>
      <c r="H154" s="4">
        <f ca="1">ROUNDDOWN((E151/2),0)</f>
        <v>9</v>
      </c>
    </row>
    <row r="155" spans="1:8">
      <c r="A155" s="68" t="s">
        <v>684</v>
      </c>
      <c r="B155" s="100">
        <f ca="1">VLOOKUP(A155,'Listing Inventory'!$B$5:$D$642,3,FALSE)</f>
        <v>0</v>
      </c>
      <c r="C155" s="6">
        <v>4</v>
      </c>
      <c r="D155" s="4"/>
      <c r="E155" s="4"/>
      <c r="G155" s="68" t="s">
        <v>684</v>
      </c>
      <c r="H155" s="4">
        <f ca="1">ROUNDDOWN((E151/4),0)</f>
        <v>4</v>
      </c>
    </row>
    <row r="156" spans="1:8">
      <c r="A156" s="68" t="s">
        <v>124</v>
      </c>
      <c r="B156" s="100">
        <f ca="1">VLOOKUP(A156,'Listing Inventory'!$B$5:$D$642,3,FALSE)</f>
        <v>0</v>
      </c>
      <c r="C156" s="6">
        <v>1</v>
      </c>
      <c r="D156" s="4"/>
      <c r="E156" s="4"/>
      <c r="G156" s="68" t="s">
        <v>124</v>
      </c>
      <c r="H156" s="4">
        <f ca="1">E152</f>
        <v>0</v>
      </c>
    </row>
    <row r="157" spans="1:8">
      <c r="A157" s="68" t="s">
        <v>125</v>
      </c>
      <c r="B157" s="100">
        <f ca="1">VLOOKUP(A157,'Listing Inventory'!$B$5:$D$642,3,FALSE)</f>
        <v>0</v>
      </c>
      <c r="C157" s="6">
        <v>2</v>
      </c>
      <c r="D157" s="4"/>
      <c r="E157" s="4"/>
      <c r="G157" s="68" t="s">
        <v>125</v>
      </c>
      <c r="H157" s="4">
        <f ca="1">ROUNDDOWN((E152/2),0)</f>
        <v>0</v>
      </c>
    </row>
    <row r="158" spans="1:8">
      <c r="A158" s="68" t="s">
        <v>126</v>
      </c>
      <c r="B158" s="100">
        <f ca="1">VLOOKUP(A158,'Listing Inventory'!$B$5:$D$642,3,FALSE)</f>
        <v>0</v>
      </c>
      <c r="C158" s="6">
        <v>4</v>
      </c>
      <c r="D158" s="4"/>
      <c r="E158" s="4"/>
      <c r="G158" s="68" t="s">
        <v>126</v>
      </c>
      <c r="H158" s="4">
        <f ca="1">ROUNDDOWN((E152/4),0)</f>
        <v>0</v>
      </c>
    </row>
    <row r="159" spans="1:8">
      <c r="A159" s="68" t="s">
        <v>353</v>
      </c>
      <c r="B159" s="100">
        <f ca="1">VLOOKUP(A159,'Listing Inventory'!$B$5:$D$642,3,FALSE)</f>
        <v>0</v>
      </c>
      <c r="C159" s="6">
        <v>1</v>
      </c>
      <c r="D159" s="4"/>
      <c r="E159" s="4"/>
      <c r="G159" s="68" t="s">
        <v>353</v>
      </c>
      <c r="H159" s="4">
        <f ca="1">E153</f>
        <v>0</v>
      </c>
    </row>
    <row r="160" spans="1:8">
      <c r="A160" s="68" t="s">
        <v>354</v>
      </c>
      <c r="B160" s="100">
        <f ca="1">VLOOKUP(A160,'Listing Inventory'!$B$5:$D$642,3,FALSE)</f>
        <v>0</v>
      </c>
      <c r="C160" s="6">
        <v>2</v>
      </c>
      <c r="D160" s="4"/>
      <c r="E160" s="4"/>
      <c r="G160" s="68" t="s">
        <v>354</v>
      </c>
      <c r="H160" s="4">
        <f ca="1">ROUNDDOWN((E153/2),0)</f>
        <v>0</v>
      </c>
    </row>
    <row r="161" spans="1:8">
      <c r="A161" s="68" t="s">
        <v>355</v>
      </c>
      <c r="B161" s="100">
        <f ca="1">VLOOKUP(A161,'Listing Inventory'!$B$5:$D$642,3,FALSE)</f>
        <v>0</v>
      </c>
      <c r="C161" s="6">
        <v>4</v>
      </c>
      <c r="D161" s="4"/>
      <c r="E161" s="4"/>
      <c r="G161" s="68" t="s">
        <v>355</v>
      </c>
      <c r="H161" s="4">
        <f ca="1">ROUNDDOWN((E153/4),0)</f>
        <v>0</v>
      </c>
    </row>
    <row r="162" spans="1:8">
      <c r="A162" s="4"/>
      <c r="B162" s="100"/>
      <c r="D162" s="4"/>
      <c r="E162" s="4"/>
      <c r="G162" s="4"/>
      <c r="H162" s="4"/>
    </row>
    <row r="163" spans="1:8">
      <c r="A163" s="65"/>
      <c r="B163" s="100"/>
      <c r="C163" s="66"/>
      <c r="D163" s="65"/>
      <c r="E163" s="65"/>
      <c r="F163" s="66"/>
      <c r="G163" s="65"/>
      <c r="H163" s="4"/>
    </row>
    <row r="164" spans="1:8">
      <c r="A164" s="4"/>
      <c r="B164" s="100"/>
      <c r="D164" s="4"/>
      <c r="E164" s="4"/>
      <c r="G164" s="4"/>
      <c r="H164" s="4"/>
    </row>
    <row r="165" spans="1:8">
      <c r="A165" s="68" t="s">
        <v>357</v>
      </c>
      <c r="B165" s="100">
        <f ca="1">VLOOKUP(A165,'Listing Inventory'!$B$5:$D$642,3,FALSE)</f>
        <v>69</v>
      </c>
      <c r="C165" s="6">
        <v>1</v>
      </c>
      <c r="D165" s="4" t="s">
        <v>357</v>
      </c>
      <c r="E165" s="4">
        <f ca="1">SUMPRODUCT(B165:B166,C165:C166)</f>
        <v>69</v>
      </c>
      <c r="G165" s="68" t="s">
        <v>357</v>
      </c>
      <c r="H165" s="4">
        <f ca="1">E165</f>
        <v>69</v>
      </c>
    </row>
    <row r="166" spans="1:8">
      <c r="A166" s="68" t="s">
        <v>685</v>
      </c>
      <c r="B166" s="100">
        <f ca="1">VLOOKUP(A166,'Listing Inventory'!$B$5:$D$642,3,FALSE)</f>
        <v>0</v>
      </c>
      <c r="C166" s="6">
        <v>2</v>
      </c>
      <c r="D166" s="4" t="s">
        <v>358</v>
      </c>
      <c r="E166" s="4">
        <f ca="1">SUMPRODUCT(B167:B168,C167:C168)</f>
        <v>13</v>
      </c>
      <c r="G166" s="68" t="s">
        <v>685</v>
      </c>
      <c r="H166" s="4">
        <f ca="1">ROUNDDOWN((E165/2),0)</f>
        <v>34</v>
      </c>
    </row>
    <row r="167" spans="1:8">
      <c r="A167" s="68" t="s">
        <v>358</v>
      </c>
      <c r="B167" s="100">
        <f ca="1">VLOOKUP(A167,'Listing Inventory'!$B$5:$D$642,3,FALSE)</f>
        <v>13</v>
      </c>
      <c r="C167" s="6">
        <v>1</v>
      </c>
      <c r="D167" s="4"/>
      <c r="E167" s="4"/>
      <c r="G167" s="68" t="s">
        <v>358</v>
      </c>
      <c r="H167" s="4">
        <f ca="1">E166</f>
        <v>13</v>
      </c>
    </row>
    <row r="168" spans="1:8">
      <c r="A168" s="68" t="s">
        <v>686</v>
      </c>
      <c r="B168" s="100">
        <f ca="1">VLOOKUP(A168,'Listing Inventory'!$B$5:$D$642,3,FALSE)</f>
        <v>0</v>
      </c>
      <c r="C168" s="6">
        <v>2</v>
      </c>
      <c r="D168" s="4"/>
      <c r="E168" s="4"/>
      <c r="G168" s="68" t="s">
        <v>686</v>
      </c>
      <c r="H168" s="4">
        <f ca="1">ROUNDDOWN((E166/2),0)</f>
        <v>6</v>
      </c>
    </row>
    <row r="169" spans="1:8">
      <c r="A169" s="4"/>
      <c r="B169" s="100"/>
      <c r="D169" s="4"/>
      <c r="E169" s="4"/>
      <c r="G169" s="4"/>
      <c r="H169" s="4"/>
    </row>
    <row r="170" spans="1:8">
      <c r="A170" s="65"/>
      <c r="B170" s="100"/>
      <c r="C170" s="66"/>
      <c r="D170" s="65"/>
      <c r="E170" s="65"/>
      <c r="F170" s="66"/>
      <c r="G170" s="65"/>
      <c r="H170" s="4"/>
    </row>
    <row r="171" spans="1:8">
      <c r="A171" s="4"/>
      <c r="B171" s="100"/>
      <c r="D171" s="4"/>
      <c r="E171" s="4"/>
      <c r="G171" s="4"/>
      <c r="H171" s="4"/>
    </row>
    <row r="172" spans="1:8">
      <c r="A172" s="68" t="s">
        <v>359</v>
      </c>
      <c r="B172" s="100">
        <f ca="1">VLOOKUP(A172,'Listing Inventory'!$B$5:$D$642,3,FALSE)</f>
        <v>1</v>
      </c>
      <c r="C172" s="6">
        <v>1</v>
      </c>
      <c r="D172" s="4" t="s">
        <v>359</v>
      </c>
      <c r="E172" s="4">
        <f ca="1">SUMPRODUCT(B172:B173,C172:C173)</f>
        <v>1</v>
      </c>
      <c r="G172" s="68" t="s">
        <v>359</v>
      </c>
      <c r="H172" s="4">
        <f ca="1">E172</f>
        <v>1</v>
      </c>
    </row>
    <row r="173" spans="1:8">
      <c r="A173" s="68" t="s">
        <v>687</v>
      </c>
      <c r="B173" s="100">
        <f ca="1">VLOOKUP(A173,'Listing Inventory'!$B$5:$D$642,3,FALSE)</f>
        <v>0</v>
      </c>
      <c r="C173" s="6">
        <v>2</v>
      </c>
      <c r="D173" s="4"/>
      <c r="E173" s="4"/>
      <c r="G173" s="68" t="s">
        <v>687</v>
      </c>
      <c r="H173" s="4">
        <f ca="1">ROUNDDOWN((E172/2),0)</f>
        <v>0</v>
      </c>
    </row>
    <row r="174" spans="1:8">
      <c r="A174" s="4"/>
      <c r="B174" s="100"/>
      <c r="D174" s="4"/>
      <c r="E174" s="4"/>
      <c r="G174" s="4"/>
      <c r="H174" s="4"/>
    </row>
    <row r="175" spans="1:8">
      <c r="A175" s="65"/>
      <c r="B175" s="100"/>
      <c r="C175" s="66"/>
      <c r="D175" s="65"/>
      <c r="E175" s="65"/>
      <c r="F175" s="66"/>
      <c r="G175" s="65"/>
      <c r="H175" s="4"/>
    </row>
    <row r="176" spans="1:8">
      <c r="A176" s="4"/>
      <c r="B176" s="100"/>
      <c r="D176" s="4"/>
      <c r="E176" s="4"/>
      <c r="G176" s="4"/>
      <c r="H176" s="4"/>
    </row>
    <row r="177" spans="1:8">
      <c r="A177" s="68" t="s">
        <v>161</v>
      </c>
      <c r="B177" s="100">
        <f ca="1">VLOOKUP(A177,'Listing Inventory'!$B$5:$D$642,3,FALSE)</f>
        <v>0</v>
      </c>
      <c r="C177" s="6">
        <v>1</v>
      </c>
      <c r="D177" s="4" t="s">
        <v>161</v>
      </c>
      <c r="E177" s="4">
        <f ca="1">SUMPRODUCT(B177:B178,C177:C178)</f>
        <v>38</v>
      </c>
      <c r="G177" s="68" t="s">
        <v>161</v>
      </c>
      <c r="H177" s="4">
        <f ca="1">E177</f>
        <v>38</v>
      </c>
    </row>
    <row r="178" spans="1:8">
      <c r="A178" s="68" t="s">
        <v>162</v>
      </c>
      <c r="B178" s="100">
        <f ca="1">VLOOKUP(A178,'Listing Inventory'!$B$5:$D$642,3,FALSE)</f>
        <v>19</v>
      </c>
      <c r="C178" s="6">
        <v>2</v>
      </c>
      <c r="D178" s="4" t="s">
        <v>163</v>
      </c>
      <c r="E178" s="4">
        <f ca="1">SUMPRODUCT(B179:B180,C179:C180)</f>
        <v>24</v>
      </c>
      <c r="G178" s="68" t="s">
        <v>162</v>
      </c>
      <c r="H178" s="4">
        <f ca="1">ROUNDDOWN((E177/2),0)</f>
        <v>19</v>
      </c>
    </row>
    <row r="179" spans="1:8">
      <c r="A179" s="68" t="s">
        <v>163</v>
      </c>
      <c r="B179" s="100">
        <f ca="1">VLOOKUP(A179,'Listing Inventory'!$B$5:$D$642,3,FALSE)</f>
        <v>0</v>
      </c>
      <c r="C179" s="6">
        <v>1</v>
      </c>
      <c r="D179" s="4" t="s">
        <v>409</v>
      </c>
      <c r="E179" s="4">
        <f ca="1">SUMPRODUCT(B181:B182,C181:C182)</f>
        <v>44</v>
      </c>
      <c r="G179" s="68" t="s">
        <v>163</v>
      </c>
      <c r="H179" s="4">
        <f ca="1">E178</f>
        <v>24</v>
      </c>
    </row>
    <row r="180" spans="1:8">
      <c r="A180" s="68" t="s">
        <v>408</v>
      </c>
      <c r="B180" s="100">
        <f ca="1">VLOOKUP(A180,'Listing Inventory'!$B$5:$D$642,3,FALSE)</f>
        <v>12</v>
      </c>
      <c r="C180" s="6">
        <v>2</v>
      </c>
      <c r="D180" s="4" t="s">
        <v>410</v>
      </c>
      <c r="E180" s="4">
        <f ca="1">SUMPRODUCT(B183:B184,C183:C184)</f>
        <v>64</v>
      </c>
      <c r="G180" s="68" t="s">
        <v>408</v>
      </c>
      <c r="H180" s="4">
        <f ca="1">ROUNDDOWN((E178/2),0)</f>
        <v>12</v>
      </c>
    </row>
    <row r="181" spans="1:8">
      <c r="A181" s="68" t="s">
        <v>409</v>
      </c>
      <c r="B181" s="100">
        <f ca="1">VLOOKUP(A181,'Listing Inventory'!$B$5:$D$642,3,FALSE)</f>
        <v>0</v>
      </c>
      <c r="C181" s="6">
        <v>1</v>
      </c>
      <c r="D181" s="4"/>
      <c r="E181" s="4"/>
      <c r="G181" s="68" t="s">
        <v>409</v>
      </c>
      <c r="H181" s="4">
        <f ca="1">E179</f>
        <v>44</v>
      </c>
    </row>
    <row r="182" spans="1:8">
      <c r="A182" s="68" t="s">
        <v>164</v>
      </c>
      <c r="B182" s="100">
        <f ca="1">VLOOKUP(A182,'Listing Inventory'!$B$5:$D$642,3,FALSE)</f>
        <v>22</v>
      </c>
      <c r="C182" s="6">
        <v>2</v>
      </c>
      <c r="D182" s="4"/>
      <c r="E182" s="4"/>
      <c r="G182" s="68" t="s">
        <v>164</v>
      </c>
      <c r="H182" s="4">
        <f ca="1">ROUNDDOWN((E179/2),0)</f>
        <v>22</v>
      </c>
    </row>
    <row r="183" spans="1:8">
      <c r="A183" s="68" t="s">
        <v>410</v>
      </c>
      <c r="B183" s="100">
        <f ca="1">VLOOKUP(A183,'Listing Inventory'!$B$5:$D$642,3,FALSE)</f>
        <v>0</v>
      </c>
      <c r="C183" s="6">
        <v>1</v>
      </c>
      <c r="D183" s="4"/>
      <c r="E183" s="4"/>
      <c r="G183" s="68" t="s">
        <v>410</v>
      </c>
      <c r="H183" s="4">
        <f ca="1">E180</f>
        <v>64</v>
      </c>
    </row>
    <row r="184" spans="1:8">
      <c r="A184" s="68" t="s">
        <v>411</v>
      </c>
      <c r="B184" s="100">
        <f ca="1">VLOOKUP(A184,'Listing Inventory'!$B$5:$D$642,3,FALSE)</f>
        <v>32</v>
      </c>
      <c r="C184" s="6">
        <v>2</v>
      </c>
      <c r="D184" s="4"/>
      <c r="E184" s="4"/>
      <c r="G184" s="68" t="s">
        <v>411</v>
      </c>
      <c r="H184" s="4">
        <f ca="1">ROUNDDOWN((E180/2),0)</f>
        <v>32</v>
      </c>
    </row>
    <row r="185" spans="1:8">
      <c r="A185" s="4"/>
      <c r="B185" s="100"/>
      <c r="D185" s="4"/>
      <c r="E185" s="4"/>
      <c r="G185" s="4"/>
      <c r="H185" s="4"/>
    </row>
    <row r="186" spans="1:8">
      <c r="A186" s="65"/>
      <c r="B186" s="100"/>
      <c r="C186" s="66"/>
      <c r="D186" s="65"/>
      <c r="E186" s="65"/>
      <c r="F186" s="66"/>
      <c r="G186" s="65"/>
      <c r="H186" s="4"/>
    </row>
    <row r="187" spans="1:8">
      <c r="A187" s="4"/>
      <c r="B187" s="100"/>
      <c r="D187" s="4"/>
      <c r="E187" s="4"/>
      <c r="G187" s="4"/>
      <c r="H187" s="4"/>
    </row>
    <row r="188" spans="1:8">
      <c r="A188" s="68" t="s">
        <v>165</v>
      </c>
      <c r="B188" s="100">
        <f ca="1">VLOOKUP(A188,'Listing Inventory'!$B$5:$D$642,3,FALSE)</f>
        <v>9</v>
      </c>
      <c r="C188" s="6">
        <v>1</v>
      </c>
      <c r="D188" s="4" t="s">
        <v>165</v>
      </c>
      <c r="E188" s="4">
        <f ca="1">SUMPRODUCT(B188:B189,C188:C189)</f>
        <v>9</v>
      </c>
      <c r="G188" s="4" t="s">
        <v>165</v>
      </c>
      <c r="H188" s="4">
        <f ca="1">E188</f>
        <v>9</v>
      </c>
    </row>
    <row r="189" spans="1:8">
      <c r="A189" s="68" t="s">
        <v>166</v>
      </c>
      <c r="B189" s="100">
        <f ca="1">VLOOKUP(A189,'Listing Inventory'!$B$5:$D$642,3,FALSE)</f>
        <v>0</v>
      </c>
      <c r="C189" s="6">
        <v>2</v>
      </c>
      <c r="D189" s="4" t="s">
        <v>167</v>
      </c>
      <c r="E189" s="4">
        <f ca="1">SUMPRODUCT(B190:B191,C190:C191)</f>
        <v>19</v>
      </c>
      <c r="G189" s="4" t="s">
        <v>166</v>
      </c>
      <c r="H189" s="4">
        <f ca="1">ROUNDDOWN((E188/2),0)</f>
        <v>4</v>
      </c>
    </row>
    <row r="190" spans="1:8">
      <c r="A190" s="68" t="s">
        <v>167</v>
      </c>
      <c r="B190" s="100">
        <f ca="1">VLOOKUP(A190,'Listing Inventory'!$B$5:$D$642,3,FALSE)</f>
        <v>0</v>
      </c>
      <c r="C190" s="6">
        <v>1</v>
      </c>
      <c r="D190" s="4"/>
      <c r="E190" s="4"/>
      <c r="G190" s="4" t="s">
        <v>167</v>
      </c>
      <c r="H190" s="4">
        <f ca="1">E189</f>
        <v>19</v>
      </c>
    </row>
    <row r="191" spans="1:8">
      <c r="A191" s="68" t="s">
        <v>168</v>
      </c>
      <c r="B191" s="100">
        <f ca="1">VLOOKUP(A191,'Listing Inventory'!$B$5:$D$642,3,FALSE)</f>
        <v>9.5</v>
      </c>
      <c r="C191" s="6">
        <v>2</v>
      </c>
      <c r="D191" s="4"/>
      <c r="E191" s="4"/>
      <c r="G191" s="4" t="s">
        <v>168</v>
      </c>
      <c r="H191" s="4">
        <f ca="1">ROUNDDOWN((E189/2),0)</f>
        <v>9</v>
      </c>
    </row>
    <row r="192" spans="1:8">
      <c r="A192" s="4"/>
      <c r="B192" s="100"/>
      <c r="D192" s="4"/>
      <c r="E192" s="4"/>
      <c r="G192" s="4"/>
      <c r="H192" s="4"/>
    </row>
    <row r="193" spans="1:8">
      <c r="A193" s="65"/>
      <c r="B193" s="100"/>
      <c r="C193" s="66"/>
      <c r="D193" s="65"/>
      <c r="E193" s="65"/>
      <c r="F193" s="66"/>
      <c r="G193" s="65"/>
      <c r="H193" s="4"/>
    </row>
    <row r="194" spans="1:8">
      <c r="A194" s="4"/>
      <c r="B194" s="100"/>
      <c r="D194" s="4"/>
      <c r="E194" s="4"/>
      <c r="G194" s="4"/>
      <c r="H194" s="4"/>
    </row>
    <row r="195" spans="1:8">
      <c r="A195" s="68" t="s">
        <v>169</v>
      </c>
      <c r="B195" s="100">
        <f ca="1">VLOOKUP(A195,'Listing Inventory'!$B$5:$D$642,3,FALSE)</f>
        <v>3</v>
      </c>
      <c r="C195" s="6">
        <v>1</v>
      </c>
      <c r="D195" s="4" t="s">
        <v>169</v>
      </c>
      <c r="E195" s="4">
        <f ca="1">SUMPRODUCT(B195:B196,C195:C196)</f>
        <v>5</v>
      </c>
      <c r="G195" s="4" t="s">
        <v>169</v>
      </c>
      <c r="H195" s="4">
        <f ca="1">E195</f>
        <v>5</v>
      </c>
    </row>
    <row r="196" spans="1:8">
      <c r="A196" s="68" t="s">
        <v>170</v>
      </c>
      <c r="B196" s="100">
        <f ca="1">VLOOKUP(A196,'Listing Inventory'!$B$5:$D$642,3,FALSE)</f>
        <v>1</v>
      </c>
      <c r="C196" s="6">
        <v>2</v>
      </c>
      <c r="D196" s="4" t="s">
        <v>171</v>
      </c>
      <c r="E196" s="4">
        <f ca="1">SUMPRODUCT(B197:B198,C197:C198)</f>
        <v>41</v>
      </c>
      <c r="G196" s="4" t="s">
        <v>170</v>
      </c>
      <c r="H196" s="4">
        <f ca="1">ROUNDDOWN((E195/2),0)</f>
        <v>2</v>
      </c>
    </row>
    <row r="197" spans="1:8">
      <c r="A197" s="68" t="s">
        <v>171</v>
      </c>
      <c r="B197" s="100">
        <f ca="1">VLOOKUP(A197,'Listing Inventory'!$B$5:$D$642,3,FALSE)</f>
        <v>0</v>
      </c>
      <c r="C197" s="6">
        <v>1</v>
      </c>
      <c r="D197" s="4"/>
      <c r="E197" s="4"/>
      <c r="G197" s="4" t="s">
        <v>171</v>
      </c>
      <c r="H197" s="4">
        <f ca="1">E196</f>
        <v>41</v>
      </c>
    </row>
    <row r="198" spans="1:8">
      <c r="A198" s="68" t="s">
        <v>172</v>
      </c>
      <c r="B198" s="100">
        <f ca="1">VLOOKUP(A198,'Listing Inventory'!$B$5:$D$642,3,FALSE)</f>
        <v>20.5</v>
      </c>
      <c r="C198" s="6">
        <v>2</v>
      </c>
      <c r="D198" s="4"/>
      <c r="E198" s="4"/>
      <c r="G198" s="4" t="s">
        <v>172</v>
      </c>
      <c r="H198" s="4">
        <f ca="1">ROUNDDOWN((E196/2),0)</f>
        <v>20</v>
      </c>
    </row>
    <row r="199" spans="1:8">
      <c r="A199" s="4"/>
      <c r="B199" s="100"/>
      <c r="D199" s="4"/>
      <c r="E199" s="4"/>
      <c r="G199" s="4"/>
      <c r="H199" s="4"/>
    </row>
    <row r="200" spans="1:8">
      <c r="A200" s="65"/>
      <c r="B200" s="100"/>
      <c r="C200" s="66"/>
      <c r="D200" s="65"/>
      <c r="E200" s="65"/>
      <c r="F200" s="66"/>
      <c r="G200" s="65"/>
      <c r="H200" s="4"/>
    </row>
    <row r="201" spans="1:8">
      <c r="A201" s="4"/>
      <c r="B201" s="100"/>
      <c r="D201" s="4"/>
      <c r="E201" s="4"/>
      <c r="G201" s="4"/>
      <c r="H201" s="4"/>
    </row>
    <row r="202" spans="1:8">
      <c r="A202" s="68" t="s">
        <v>173</v>
      </c>
      <c r="B202" s="100">
        <f ca="1">VLOOKUP(A202,'Listing Inventory'!$B$5:$D$642,3,FALSE)</f>
        <v>0</v>
      </c>
      <c r="C202" s="6">
        <v>1</v>
      </c>
      <c r="D202" s="4" t="s">
        <v>173</v>
      </c>
      <c r="E202" s="4">
        <f ca="1">SUMPRODUCT(B202:B203,C202:C203)</f>
        <v>4</v>
      </c>
      <c r="G202" s="68" t="s">
        <v>173</v>
      </c>
      <c r="H202" s="4">
        <f ca="1">E202</f>
        <v>4</v>
      </c>
    </row>
    <row r="203" spans="1:8">
      <c r="A203" s="68" t="s">
        <v>174</v>
      </c>
      <c r="B203" s="100">
        <f ca="1">VLOOKUP(A203,'Listing Inventory'!$B$5:$D$642,3,FALSE)</f>
        <v>2</v>
      </c>
      <c r="C203" s="6">
        <v>2</v>
      </c>
      <c r="D203" s="4" t="s">
        <v>609</v>
      </c>
      <c r="E203" s="4">
        <f ca="1">SUMPRODUCT(B204:B205,C204:C205)</f>
        <v>6</v>
      </c>
      <c r="G203" s="68" t="s">
        <v>174</v>
      </c>
      <c r="H203" s="4">
        <f ca="1">ROUNDDOWN((E202/2),0)</f>
        <v>2</v>
      </c>
    </row>
    <row r="204" spans="1:8">
      <c r="A204" s="68" t="s">
        <v>175</v>
      </c>
      <c r="B204" s="100">
        <f ca="1">VLOOKUP(A204,'Listing Inventory'!$B$5:$D$642,3,FALSE)</f>
        <v>0</v>
      </c>
      <c r="C204" s="6">
        <v>1</v>
      </c>
      <c r="D204" s="4"/>
      <c r="E204" s="4"/>
      <c r="G204" s="68" t="s">
        <v>175</v>
      </c>
      <c r="H204" s="4">
        <f ca="1">E203</f>
        <v>6</v>
      </c>
    </row>
    <row r="205" spans="1:8">
      <c r="A205" s="68" t="s">
        <v>26</v>
      </c>
      <c r="B205" s="100">
        <f ca="1">VLOOKUP(A205,'Listing Inventory'!$B$5:$D$642,3,FALSE)</f>
        <v>3</v>
      </c>
      <c r="C205" s="6">
        <v>2</v>
      </c>
      <c r="D205" s="4"/>
      <c r="E205" s="4"/>
      <c r="G205" s="68" t="s">
        <v>26</v>
      </c>
      <c r="H205" s="4">
        <f ca="1">ROUNDDOWN((E203/2),0)</f>
        <v>3</v>
      </c>
    </row>
    <row r="206" spans="1:8">
      <c r="A206" s="4"/>
      <c r="B206" s="100"/>
      <c r="D206" s="4"/>
      <c r="E206" s="4"/>
      <c r="G206" s="4"/>
      <c r="H206" s="4"/>
    </row>
    <row r="207" spans="1:8">
      <c r="A207" s="65"/>
      <c r="B207" s="100"/>
      <c r="C207" s="66"/>
      <c r="D207" s="65"/>
      <c r="E207" s="65"/>
      <c r="F207" s="66"/>
      <c r="G207" s="65"/>
      <c r="H207" s="4"/>
    </row>
    <row r="208" spans="1:8">
      <c r="A208" s="4"/>
      <c r="B208" s="100"/>
      <c r="D208" s="4"/>
      <c r="E208" s="4"/>
      <c r="G208" s="4"/>
      <c r="H208" s="4"/>
    </row>
    <row r="209" spans="1:8">
      <c r="A209" s="68" t="s">
        <v>419</v>
      </c>
      <c r="B209" s="100">
        <f ca="1">VLOOKUP(A209,'Listing Inventory'!$B$5:$D$642,3,FALSE)</f>
        <v>3</v>
      </c>
      <c r="C209" s="6">
        <v>1</v>
      </c>
      <c r="D209" s="4" t="s">
        <v>658</v>
      </c>
      <c r="E209" s="4">
        <f ca="1">SUMPRODUCT(B209:B210,C209:C210)</f>
        <v>3</v>
      </c>
      <c r="G209" s="68" t="s">
        <v>419</v>
      </c>
      <c r="H209" s="4">
        <f ca="1">E209</f>
        <v>3</v>
      </c>
    </row>
    <row r="210" spans="1:8">
      <c r="A210" s="68" t="s">
        <v>176</v>
      </c>
      <c r="B210" s="100">
        <f ca="1">VLOOKUP(A210,'Listing Inventory'!$B$5:$D$642,3,FALSE)</f>
        <v>0</v>
      </c>
      <c r="C210" s="6">
        <v>2</v>
      </c>
      <c r="D210" s="4" t="s">
        <v>624</v>
      </c>
      <c r="E210" s="4">
        <f ca="1">SUMPRODUCT(B211:B212,C211:C212)</f>
        <v>4</v>
      </c>
      <c r="G210" s="68" t="s">
        <v>176</v>
      </c>
      <c r="H210" s="4">
        <f ca="1">ROUNDDOWN((E209/2),0)</f>
        <v>1</v>
      </c>
    </row>
    <row r="211" spans="1:8">
      <c r="A211" s="68" t="s">
        <v>177</v>
      </c>
      <c r="B211" s="100">
        <f ca="1">VLOOKUP(A211,'Listing Inventory'!$B$5:$D$642,3,FALSE)</f>
        <v>4</v>
      </c>
      <c r="C211" s="6">
        <v>1</v>
      </c>
      <c r="D211" s="4"/>
      <c r="E211" s="4"/>
      <c r="G211" s="68" t="s">
        <v>177</v>
      </c>
      <c r="H211" s="4">
        <f ca="1">E210</f>
        <v>4</v>
      </c>
    </row>
    <row r="212" spans="1:8">
      <c r="A212" s="68" t="s">
        <v>178</v>
      </c>
      <c r="B212" s="100">
        <f ca="1">VLOOKUP(A212,'Listing Inventory'!$B$5:$D$642,3,FALSE)</f>
        <v>0</v>
      </c>
      <c r="C212" s="6">
        <v>2</v>
      </c>
      <c r="D212" s="4"/>
      <c r="E212" s="4"/>
      <c r="G212" s="68" t="s">
        <v>178</v>
      </c>
      <c r="H212" s="4">
        <f ca="1">ROUNDDOWN((E210/2),0)</f>
        <v>2</v>
      </c>
    </row>
    <row r="213" spans="1:8">
      <c r="A213" s="4"/>
      <c r="B213" s="100"/>
      <c r="D213" s="4"/>
      <c r="E213" s="4"/>
      <c r="G213" s="4"/>
      <c r="H213" s="4"/>
    </row>
    <row r="214" spans="1:8">
      <c r="A214" s="65"/>
      <c r="B214" s="100"/>
      <c r="C214" s="66"/>
      <c r="D214" s="65"/>
      <c r="E214" s="65"/>
      <c r="F214" s="66"/>
      <c r="G214" s="65"/>
      <c r="H214" s="4"/>
    </row>
    <row r="215" spans="1:8">
      <c r="A215" s="4"/>
      <c r="B215" s="100"/>
      <c r="D215" s="4"/>
      <c r="E215" s="4"/>
      <c r="G215" s="4"/>
      <c r="H215" s="4"/>
    </row>
    <row r="216" spans="1:8">
      <c r="A216" s="68" t="s">
        <v>420</v>
      </c>
      <c r="B216" s="100">
        <f ca="1">VLOOKUP(A216,'Listing Inventory'!$B$5:$D$642,3,FALSE)</f>
        <v>1</v>
      </c>
      <c r="C216" s="6">
        <v>1</v>
      </c>
      <c r="D216" s="4" t="s">
        <v>659</v>
      </c>
      <c r="E216" s="4">
        <f ca="1">SUMPRODUCT(B216:B217,C216:C217)</f>
        <v>1</v>
      </c>
      <c r="G216" s="68" t="s">
        <v>420</v>
      </c>
      <c r="H216" s="4">
        <f ca="1">E216</f>
        <v>1</v>
      </c>
    </row>
    <row r="217" spans="1:8">
      <c r="A217" s="68" t="s">
        <v>179</v>
      </c>
      <c r="B217" s="100">
        <f ca="1">VLOOKUP(A217,'Listing Inventory'!$B$5:$D$642,3,FALSE)</f>
        <v>0</v>
      </c>
      <c r="C217" s="6">
        <v>2</v>
      </c>
      <c r="D217" s="4" t="s">
        <v>660</v>
      </c>
      <c r="E217" s="4">
        <f ca="1">SUMPRODUCT(B218:B219,C218:C219)</f>
        <v>1</v>
      </c>
      <c r="G217" s="68" t="s">
        <v>179</v>
      </c>
      <c r="H217" s="4">
        <f ca="1">ROUNDDOWN((E216/2),0)</f>
        <v>0</v>
      </c>
    </row>
    <row r="218" spans="1:8">
      <c r="A218" s="68" t="s">
        <v>180</v>
      </c>
      <c r="B218" s="100">
        <f ca="1">VLOOKUP(A218,'Listing Inventory'!$B$5:$D$642,3,FALSE)</f>
        <v>1</v>
      </c>
      <c r="C218" s="6">
        <v>1</v>
      </c>
      <c r="D218" s="4"/>
      <c r="E218" s="4"/>
      <c r="G218" s="68" t="s">
        <v>180</v>
      </c>
      <c r="H218" s="4">
        <f ca="1">E217</f>
        <v>1</v>
      </c>
    </row>
    <row r="219" spans="1:8">
      <c r="A219" s="68" t="s">
        <v>181</v>
      </c>
      <c r="B219" s="100">
        <f ca="1">VLOOKUP(A219,'Listing Inventory'!$B$5:$D$642,3,FALSE)</f>
        <v>0</v>
      </c>
      <c r="C219" s="6">
        <v>2</v>
      </c>
      <c r="D219" s="4"/>
      <c r="E219" s="4"/>
      <c r="G219" s="68" t="s">
        <v>181</v>
      </c>
      <c r="H219" s="4">
        <f ca="1">ROUNDDOWN((E217/2),0)</f>
        <v>0</v>
      </c>
    </row>
    <row r="220" spans="1:8">
      <c r="A220" s="4"/>
      <c r="B220" s="100"/>
      <c r="D220" s="4"/>
      <c r="E220" s="4"/>
      <c r="G220" s="4"/>
      <c r="H220" s="4"/>
    </row>
    <row r="221" spans="1:8">
      <c r="A221" s="65"/>
      <c r="B221" s="100"/>
      <c r="C221" s="66"/>
      <c r="D221" s="65"/>
      <c r="E221" s="65"/>
      <c r="F221" s="66"/>
      <c r="G221" s="65"/>
      <c r="H221" s="4"/>
    </row>
    <row r="222" spans="1:8">
      <c r="A222" s="4"/>
      <c r="B222" s="100"/>
      <c r="D222" s="4"/>
      <c r="E222" s="4"/>
      <c r="G222" s="4"/>
      <c r="H222" s="4"/>
    </row>
    <row r="223" spans="1:8">
      <c r="A223" s="68" t="s">
        <v>421</v>
      </c>
      <c r="B223" s="100">
        <f ca="1">VLOOKUP(A223,'Listing Inventory'!$B$5:$D$642,3,FALSE)</f>
        <v>0</v>
      </c>
      <c r="C223" s="6">
        <v>1</v>
      </c>
      <c r="D223" s="4" t="s">
        <v>661</v>
      </c>
      <c r="E223" s="4">
        <f ca="1">SUMPRODUCT(B223:B224,C223:C224)</f>
        <v>0</v>
      </c>
      <c r="G223" s="68" t="s">
        <v>421</v>
      </c>
      <c r="H223" s="4">
        <f ca="1">E223</f>
        <v>0</v>
      </c>
    </row>
    <row r="224" spans="1:8">
      <c r="A224" s="68" t="s">
        <v>182</v>
      </c>
      <c r="B224" s="100">
        <f ca="1">VLOOKUP(A224,'Listing Inventory'!$B$5:$D$642,3,FALSE)</f>
        <v>0</v>
      </c>
      <c r="C224" s="6">
        <v>2</v>
      </c>
      <c r="D224" s="4" t="s">
        <v>662</v>
      </c>
      <c r="E224" s="4">
        <f ca="1">SUMPRODUCT(B225:B226,C225:C226)</f>
        <v>6</v>
      </c>
      <c r="G224" s="68" t="s">
        <v>182</v>
      </c>
      <c r="H224" s="4">
        <f ca="1">ROUNDDOWN((E223/2),0)</f>
        <v>0</v>
      </c>
    </row>
    <row r="225" spans="1:8">
      <c r="A225" s="68" t="s">
        <v>183</v>
      </c>
      <c r="B225" s="100">
        <f ca="1">VLOOKUP(A225,'Listing Inventory'!$B$5:$D$642,3,FALSE)</f>
        <v>0</v>
      </c>
      <c r="C225" s="6">
        <v>1</v>
      </c>
      <c r="D225" s="4" t="s">
        <v>663</v>
      </c>
      <c r="E225" s="4">
        <f ca="1">SUMPRODUCT(B227:B228,C227:C228)</f>
        <v>0</v>
      </c>
      <c r="G225" s="68" t="s">
        <v>183</v>
      </c>
      <c r="H225" s="4">
        <f ca="1">E224</f>
        <v>6</v>
      </c>
    </row>
    <row r="226" spans="1:8">
      <c r="A226" s="68" t="s">
        <v>184</v>
      </c>
      <c r="B226" s="100">
        <f ca="1">VLOOKUP(A226,'Listing Inventory'!$B$5:$D$642,3,FALSE)</f>
        <v>3</v>
      </c>
      <c r="C226" s="6">
        <v>2</v>
      </c>
      <c r="D226" s="4"/>
      <c r="E226" s="4"/>
      <c r="G226" s="68" t="s">
        <v>184</v>
      </c>
      <c r="H226" s="4">
        <f ca="1">ROUNDDOWN((E224/2),0)</f>
        <v>3</v>
      </c>
    </row>
    <row r="227" spans="1:8">
      <c r="A227" s="68" t="s">
        <v>185</v>
      </c>
      <c r="B227" s="100">
        <f ca="1">VLOOKUP(A227,'Listing Inventory'!$B$5:$D$642,3,FALSE)</f>
        <v>0</v>
      </c>
      <c r="C227" s="6">
        <v>1</v>
      </c>
      <c r="D227" s="4"/>
      <c r="E227" s="4"/>
      <c r="G227" s="68" t="s">
        <v>185</v>
      </c>
      <c r="H227" s="4">
        <f ca="1">E225</f>
        <v>0</v>
      </c>
    </row>
    <row r="228" spans="1:8">
      <c r="A228" s="68" t="s">
        <v>186</v>
      </c>
      <c r="B228" s="100">
        <f ca="1">VLOOKUP(A228,'Listing Inventory'!$B$5:$D$642,3,FALSE)</f>
        <v>0</v>
      </c>
      <c r="C228" s="6">
        <v>2</v>
      </c>
      <c r="D228" s="4"/>
      <c r="E228" s="4"/>
      <c r="G228" s="68" t="s">
        <v>186</v>
      </c>
      <c r="H228" s="4">
        <f ca="1">ROUNDDOWN((E225/2),0)</f>
        <v>0</v>
      </c>
    </row>
    <row r="229" spans="1:8">
      <c r="A229" s="4"/>
      <c r="B229" s="100"/>
      <c r="D229" s="4"/>
      <c r="E229" s="4"/>
      <c r="G229" s="4"/>
      <c r="H229" s="4"/>
    </row>
    <row r="230" spans="1:8">
      <c r="A230" s="65"/>
      <c r="B230" s="100"/>
      <c r="C230" s="66"/>
      <c r="D230" s="65"/>
      <c r="E230" s="65"/>
      <c r="F230" s="66"/>
      <c r="G230" s="65"/>
      <c r="H230" s="4"/>
    </row>
    <row r="231" spans="1:8">
      <c r="A231" s="4"/>
      <c r="B231" s="100"/>
      <c r="D231" s="4"/>
      <c r="E231" s="4"/>
      <c r="G231" s="4"/>
      <c r="H231" s="4"/>
    </row>
    <row r="232" spans="1:8">
      <c r="A232" s="68" t="s">
        <v>422</v>
      </c>
      <c r="B232" s="100">
        <f ca="1">VLOOKUP(A232,'Listing Inventory'!$B$5:$D$642,3,FALSE)</f>
        <v>0</v>
      </c>
      <c r="C232" s="6">
        <v>1</v>
      </c>
      <c r="D232" s="4" t="s">
        <v>422</v>
      </c>
      <c r="E232" s="4">
        <f ca="1">SUMPRODUCT(B232:B234,C232:C234)</f>
        <v>0</v>
      </c>
      <c r="G232" s="68" t="s">
        <v>422</v>
      </c>
      <c r="H232" s="4">
        <f ca="1">E232</f>
        <v>0</v>
      </c>
    </row>
    <row r="233" spans="1:8">
      <c r="A233" s="68" t="s">
        <v>423</v>
      </c>
      <c r="B233" s="100">
        <f ca="1">VLOOKUP(A233,'Listing Inventory'!$B$5:$D$642,3,FALSE)</f>
        <v>0</v>
      </c>
      <c r="C233" s="6">
        <v>2</v>
      </c>
      <c r="D233" s="4" t="s">
        <v>426</v>
      </c>
      <c r="E233" s="4">
        <f ca="1">SUMPRODUCT(B235:B237,C235:C237)</f>
        <v>21</v>
      </c>
      <c r="G233" s="68" t="s">
        <v>423</v>
      </c>
      <c r="H233" s="4">
        <f ca="1">ROUNDDOWN((E232/2),0)</f>
        <v>0</v>
      </c>
    </row>
    <row r="234" spans="1:8">
      <c r="A234" s="68" t="s">
        <v>424</v>
      </c>
      <c r="B234" s="100">
        <f ca="1">VLOOKUP(A234,'Listing Inventory'!$B$5:$D$642,3,FALSE)</f>
        <v>0</v>
      </c>
      <c r="C234" s="6">
        <v>4</v>
      </c>
      <c r="D234" s="4" t="s">
        <v>665</v>
      </c>
      <c r="E234" s="4">
        <f ca="1">SUMPRODUCT(B238:B240,C238:C240)</f>
        <v>31</v>
      </c>
      <c r="G234" s="68" t="s">
        <v>424</v>
      </c>
      <c r="H234" s="4">
        <f ca="1">ROUNDDOWN((E232/4),0)</f>
        <v>0</v>
      </c>
    </row>
    <row r="235" spans="1:8">
      <c r="A235" s="68" t="s">
        <v>426</v>
      </c>
      <c r="B235" s="100">
        <f ca="1">VLOOKUP(A235,'Listing Inventory'!$B$5:$D$642,3,FALSE)</f>
        <v>1</v>
      </c>
      <c r="C235" s="6">
        <v>1</v>
      </c>
      <c r="D235" s="4" t="s">
        <v>666</v>
      </c>
      <c r="E235" s="4">
        <f ca="1">SUMPRODUCT(B241:B243,C241:C243)</f>
        <v>0</v>
      </c>
      <c r="G235" s="68" t="s">
        <v>426</v>
      </c>
      <c r="H235" s="4">
        <f ca="1">E233</f>
        <v>21</v>
      </c>
    </row>
    <row r="236" spans="1:8">
      <c r="A236" s="68" t="s">
        <v>427</v>
      </c>
      <c r="B236" s="100">
        <f ca="1">VLOOKUP(A236,'Listing Inventory'!$B$5:$D$642,3,FALSE)</f>
        <v>0</v>
      </c>
      <c r="C236" s="6">
        <v>2</v>
      </c>
      <c r="D236" s="4"/>
      <c r="E236" s="4"/>
      <c r="G236" s="68" t="s">
        <v>427</v>
      </c>
      <c r="H236" s="4">
        <f ca="1">ROUNDDOWN((E233/2),0)</f>
        <v>10</v>
      </c>
    </row>
    <row r="237" spans="1:8">
      <c r="A237" s="68" t="s">
        <v>428</v>
      </c>
      <c r="B237" s="100">
        <f ca="1">VLOOKUP(A237,'Listing Inventory'!$B$5:$D$642,3,FALSE)</f>
        <v>5</v>
      </c>
      <c r="C237" s="6">
        <v>4</v>
      </c>
      <c r="D237" s="4"/>
      <c r="E237" s="4"/>
      <c r="G237" s="68" t="s">
        <v>428</v>
      </c>
      <c r="H237" s="4">
        <f ca="1">ROUNDDOWN((E233/4),0)</f>
        <v>5</v>
      </c>
    </row>
    <row r="238" spans="1:8">
      <c r="A238" s="68" t="s">
        <v>425</v>
      </c>
      <c r="B238" s="100">
        <f ca="1">VLOOKUP(A238,'Listing Inventory'!$B$5:$D$642,3,FALSE)</f>
        <v>7</v>
      </c>
      <c r="C238" s="6">
        <v>1</v>
      </c>
      <c r="D238" s="4"/>
      <c r="E238" s="4"/>
      <c r="G238" s="68" t="s">
        <v>425</v>
      </c>
      <c r="H238" s="4">
        <f ca="1">E234</f>
        <v>31</v>
      </c>
    </row>
    <row r="239" spans="1:8">
      <c r="A239" s="68" t="s">
        <v>429</v>
      </c>
      <c r="B239" s="100">
        <f ca="1">VLOOKUP(A239,'Listing Inventory'!$B$5:$D$642,3,FALSE)</f>
        <v>6</v>
      </c>
      <c r="C239" s="6">
        <v>2</v>
      </c>
      <c r="D239" s="4"/>
      <c r="E239" s="4"/>
      <c r="G239" s="68" t="s">
        <v>429</v>
      </c>
      <c r="H239" s="4">
        <f ca="1">ROUNDDOWN((E234/2),0)</f>
        <v>15</v>
      </c>
    </row>
    <row r="240" spans="1:8">
      <c r="A240" s="68" t="s">
        <v>430</v>
      </c>
      <c r="B240" s="100">
        <f ca="1">VLOOKUP(A240,'Listing Inventory'!$B$5:$D$642,3,FALSE)</f>
        <v>3</v>
      </c>
      <c r="C240" s="6">
        <v>4</v>
      </c>
      <c r="D240" s="4"/>
      <c r="E240" s="4"/>
      <c r="G240" s="68" t="s">
        <v>430</v>
      </c>
      <c r="H240" s="4">
        <f ca="1">ROUNDDOWN((E234/4),0)</f>
        <v>7</v>
      </c>
    </row>
    <row r="241" spans="1:8">
      <c r="A241" s="68" t="s">
        <v>431</v>
      </c>
      <c r="B241" s="100">
        <f ca="1">VLOOKUP(A241,'Listing Inventory'!$B$5:$D$642,3,FALSE)</f>
        <v>0</v>
      </c>
      <c r="C241" s="6">
        <v>1</v>
      </c>
      <c r="D241" s="4"/>
      <c r="E241" s="4"/>
      <c r="G241" s="68" t="s">
        <v>431</v>
      </c>
      <c r="H241" s="4">
        <f ca="1">E235</f>
        <v>0</v>
      </c>
    </row>
    <row r="242" spans="1:8">
      <c r="A242" s="68" t="s">
        <v>432</v>
      </c>
      <c r="B242" s="100">
        <f ca="1">VLOOKUP(A242,'Listing Inventory'!$B$5:$D$642,3,FALSE)</f>
        <v>0</v>
      </c>
      <c r="C242" s="6">
        <v>2</v>
      </c>
      <c r="D242" s="4"/>
      <c r="E242" s="4"/>
      <c r="G242" s="68" t="s">
        <v>432</v>
      </c>
      <c r="H242" s="4">
        <f ca="1">ROUNDDOWN((E235/2),0)</f>
        <v>0</v>
      </c>
    </row>
    <row r="243" spans="1:8">
      <c r="A243" s="68" t="s">
        <v>433</v>
      </c>
      <c r="B243" s="100">
        <f ca="1">VLOOKUP(A243,'Listing Inventory'!$B$5:$D$642,3,FALSE)</f>
        <v>0</v>
      </c>
      <c r="C243" s="6">
        <v>4</v>
      </c>
      <c r="D243" s="4"/>
      <c r="E243" s="4"/>
      <c r="G243" s="68" t="s">
        <v>433</v>
      </c>
      <c r="H243" s="4">
        <f ca="1">ROUNDDOWN((E235/4),0)</f>
        <v>0</v>
      </c>
    </row>
    <row r="244" spans="1:8">
      <c r="A244" s="4"/>
      <c r="B244" s="100"/>
      <c r="D244" s="4"/>
      <c r="E244" s="4"/>
      <c r="G244" s="4"/>
      <c r="H244" s="4"/>
    </row>
    <row r="245" spans="1:8">
      <c r="A245" s="65"/>
      <c r="B245" s="100"/>
      <c r="C245" s="66"/>
      <c r="D245" s="65"/>
      <c r="E245" s="65"/>
      <c r="F245" s="66"/>
      <c r="G245" s="65"/>
      <c r="H245" s="4"/>
    </row>
    <row r="246" spans="1:8">
      <c r="A246" s="4"/>
      <c r="B246" s="100"/>
      <c r="D246" s="4"/>
      <c r="E246" s="4"/>
      <c r="G246" s="4"/>
      <c r="H246" s="4"/>
    </row>
    <row r="247" spans="1:8">
      <c r="A247" s="68" t="s">
        <v>435</v>
      </c>
      <c r="B247" s="100">
        <f ca="1">VLOOKUP(A247,'Listing Inventory'!$B$5:$D$642,3,FALSE)</f>
        <v>0</v>
      </c>
      <c r="C247" s="6">
        <v>1</v>
      </c>
      <c r="D247" s="4" t="s">
        <v>436</v>
      </c>
      <c r="E247" s="4">
        <f ca="1">SUMPRODUCT(B247:B249,C247:C249)</f>
        <v>16</v>
      </c>
      <c r="G247" s="68" t="s">
        <v>435</v>
      </c>
      <c r="H247" s="4">
        <f ca="1">E247</f>
        <v>16</v>
      </c>
    </row>
    <row r="248" spans="1:8">
      <c r="A248" s="68" t="s">
        <v>187</v>
      </c>
      <c r="B248" s="100">
        <f ca="1">VLOOKUP(A248,'Listing Inventory'!$B$5:$D$642,3,FALSE)</f>
        <v>0</v>
      </c>
      <c r="C248" s="6">
        <v>2</v>
      </c>
      <c r="D248" s="4" t="s">
        <v>438</v>
      </c>
      <c r="E248" s="4">
        <f ca="1">SUMPRODUCT(B250:B252,C250:C252)</f>
        <v>20</v>
      </c>
      <c r="G248" s="68" t="s">
        <v>187</v>
      </c>
      <c r="H248" s="4">
        <f ca="1">ROUNDDOWN((E247/2),0)</f>
        <v>8</v>
      </c>
    </row>
    <row r="249" spans="1:8">
      <c r="A249" s="68" t="s">
        <v>188</v>
      </c>
      <c r="B249" s="100">
        <f ca="1">VLOOKUP(A249,'Listing Inventory'!$B$5:$D$642,3,FALSE)</f>
        <v>4</v>
      </c>
      <c r="C249" s="6">
        <v>4</v>
      </c>
      <c r="D249" s="4" t="s">
        <v>439</v>
      </c>
      <c r="E249" s="4">
        <f ca="1">SUMPRODUCT(B253:B255,C253:C255)</f>
        <v>2</v>
      </c>
      <c r="G249" s="68" t="s">
        <v>188</v>
      </c>
      <c r="H249" s="4">
        <f ca="1">ROUNDDOWN((E247/4),0)</f>
        <v>4</v>
      </c>
    </row>
    <row r="250" spans="1:8">
      <c r="A250" s="68" t="s">
        <v>438</v>
      </c>
      <c r="B250" s="100">
        <f ca="1">VLOOKUP(A250,'Listing Inventory'!$B$5:$D$642,3,FALSE)</f>
        <v>0</v>
      </c>
      <c r="C250" s="6">
        <v>1</v>
      </c>
      <c r="D250" s="4" t="s">
        <v>442</v>
      </c>
      <c r="E250" s="4">
        <f ca="1">SUMPRODUCT(B256:B258,C256:C258)</f>
        <v>16</v>
      </c>
      <c r="G250" s="68" t="s">
        <v>438</v>
      </c>
      <c r="H250" s="4">
        <f ca="1">E248</f>
        <v>20</v>
      </c>
    </row>
    <row r="251" spans="1:8">
      <c r="A251" s="68" t="s">
        <v>189</v>
      </c>
      <c r="B251" s="100">
        <f ca="1">VLOOKUP(A251,'Listing Inventory'!$B$5:$D$642,3,FALSE)</f>
        <v>0</v>
      </c>
      <c r="C251" s="6">
        <v>2</v>
      </c>
      <c r="D251" s="4"/>
      <c r="E251" s="4"/>
      <c r="G251" s="68" t="s">
        <v>189</v>
      </c>
      <c r="H251" s="4">
        <f ca="1">ROUNDDOWN((E248/2),0)</f>
        <v>10</v>
      </c>
    </row>
    <row r="252" spans="1:8">
      <c r="A252" s="68" t="s">
        <v>190</v>
      </c>
      <c r="B252" s="100">
        <f ca="1">VLOOKUP(A252,'Listing Inventory'!$B$5:$D$642,3,FALSE)</f>
        <v>5</v>
      </c>
      <c r="C252" s="6">
        <v>4</v>
      </c>
      <c r="D252" s="4"/>
      <c r="E252" s="4"/>
      <c r="G252" s="68" t="s">
        <v>190</v>
      </c>
      <c r="H252" s="4">
        <f ca="1">ROUNDDOWN((E248/4),0)</f>
        <v>5</v>
      </c>
    </row>
    <row r="253" spans="1:8">
      <c r="A253" s="68" t="s">
        <v>437</v>
      </c>
      <c r="B253" s="100">
        <f ca="1">VLOOKUP(A253,'Listing Inventory'!$B$5:$D$642,3,FALSE)</f>
        <v>0</v>
      </c>
      <c r="C253" s="6">
        <v>1</v>
      </c>
      <c r="D253" s="4"/>
      <c r="E253" s="4"/>
      <c r="G253" s="68" t="s">
        <v>437</v>
      </c>
      <c r="H253" s="4">
        <f ca="1">E249</f>
        <v>2</v>
      </c>
    </row>
    <row r="254" spans="1:8">
      <c r="A254" s="68" t="s">
        <v>440</v>
      </c>
      <c r="B254" s="100">
        <f ca="1">VLOOKUP(A254,'Listing Inventory'!$B$5:$D$642,3,FALSE)</f>
        <v>1</v>
      </c>
      <c r="C254" s="6">
        <v>2</v>
      </c>
      <c r="D254" s="4"/>
      <c r="E254" s="4"/>
      <c r="G254" s="68" t="s">
        <v>440</v>
      </c>
      <c r="H254" s="4">
        <f ca="1">ROUNDDOWN((E249/2),0)</f>
        <v>1</v>
      </c>
    </row>
    <row r="255" spans="1:8">
      <c r="A255" s="68" t="s">
        <v>441</v>
      </c>
      <c r="B255" s="100">
        <f ca="1">VLOOKUP(A255,'Listing Inventory'!$B$5:$D$642,3,FALSE)</f>
        <v>0</v>
      </c>
      <c r="C255" s="6">
        <v>4</v>
      </c>
      <c r="D255" s="4"/>
      <c r="E255" s="4"/>
      <c r="G255" s="68" t="s">
        <v>441</v>
      </c>
      <c r="H255" s="4">
        <f ca="1">ROUNDDOWN((E249/4),0)</f>
        <v>0</v>
      </c>
    </row>
    <row r="256" spans="1:8">
      <c r="A256" s="68" t="s">
        <v>191</v>
      </c>
      <c r="B256" s="100">
        <f ca="1">VLOOKUP(A256,'Listing Inventory'!$B$5:$D$642,3,FALSE)</f>
        <v>0</v>
      </c>
      <c r="C256" s="6">
        <v>1</v>
      </c>
      <c r="D256" s="4"/>
      <c r="E256" s="4"/>
      <c r="G256" s="68" t="s">
        <v>191</v>
      </c>
      <c r="H256" s="4">
        <f ca="1">E250</f>
        <v>16</v>
      </c>
    </row>
    <row r="257" spans="1:8">
      <c r="A257" s="68" t="s">
        <v>192</v>
      </c>
      <c r="B257" s="100">
        <f ca="1">VLOOKUP(A257,'Listing Inventory'!$B$5:$D$642,3,FALSE)</f>
        <v>0</v>
      </c>
      <c r="C257" s="6">
        <v>2</v>
      </c>
      <c r="D257" s="4"/>
      <c r="E257" s="4"/>
      <c r="G257" s="68" t="s">
        <v>192</v>
      </c>
      <c r="H257" s="4">
        <f ca="1">ROUNDDOWN((E250/2),0)</f>
        <v>8</v>
      </c>
    </row>
    <row r="258" spans="1:8">
      <c r="A258" s="68" t="s">
        <v>698</v>
      </c>
      <c r="B258" s="100">
        <f ca="1">VLOOKUP(A258,'Listing Inventory'!$B$5:$D$642,3,FALSE)</f>
        <v>4</v>
      </c>
      <c r="C258" s="6">
        <v>4</v>
      </c>
      <c r="D258" s="4"/>
      <c r="E258" s="4"/>
      <c r="G258" s="68" t="s">
        <v>698</v>
      </c>
      <c r="H258" s="4">
        <f ca="1">ROUNDDOWN((E250/4),0)</f>
        <v>4</v>
      </c>
    </row>
    <row r="259" spans="1:8">
      <c r="A259" s="4"/>
      <c r="B259" s="100"/>
      <c r="D259" s="4"/>
      <c r="E259" s="4"/>
      <c r="G259" s="4"/>
      <c r="H259" s="4"/>
    </row>
    <row r="260" spans="1:8">
      <c r="A260" s="65"/>
      <c r="B260" s="100"/>
      <c r="C260" s="66"/>
      <c r="D260" s="65"/>
      <c r="E260" s="65"/>
      <c r="F260" s="66"/>
      <c r="G260" s="65"/>
      <c r="H260" s="4"/>
    </row>
    <row r="261" spans="1:8">
      <c r="A261" s="4"/>
      <c r="B261" s="100"/>
      <c r="D261" s="4"/>
      <c r="E261" s="4"/>
      <c r="G261" s="4"/>
      <c r="H261" s="4"/>
    </row>
    <row r="262" spans="1:8">
      <c r="A262" s="68" t="s">
        <v>195</v>
      </c>
      <c r="B262" s="100">
        <f ca="1">VLOOKUP(A262,'Listing Inventory'!$B$5:$D$642,3,FALSE)</f>
        <v>18</v>
      </c>
      <c r="C262" s="6">
        <v>1</v>
      </c>
      <c r="D262" s="4" t="s">
        <v>195</v>
      </c>
      <c r="E262" s="4">
        <f ca="1">SUMPRODUCT(B262:B265,C262:C265)</f>
        <v>28</v>
      </c>
      <c r="G262" s="68" t="s">
        <v>195</v>
      </c>
      <c r="H262" s="4">
        <f ca="1">E262</f>
        <v>28</v>
      </c>
    </row>
    <row r="263" spans="1:8">
      <c r="A263" s="68" t="s">
        <v>444</v>
      </c>
      <c r="B263" s="100">
        <f ca="1">VLOOKUP(A263,'Listing Inventory'!$B$5:$D$642,3,FALSE)</f>
        <v>0.5</v>
      </c>
      <c r="C263" s="6">
        <v>2</v>
      </c>
      <c r="D263" s="4" t="s">
        <v>445</v>
      </c>
      <c r="E263" s="4">
        <f ca="1">SUMPRODUCT(B266:B269,C266:C269)</f>
        <v>25.999999999999993</v>
      </c>
      <c r="G263" s="68" t="s">
        <v>444</v>
      </c>
      <c r="H263" s="4">
        <f ca="1">ROUNDDOWN((E262/2),0)</f>
        <v>14</v>
      </c>
    </row>
    <row r="264" spans="1:8">
      <c r="A264" s="68" t="s">
        <v>196</v>
      </c>
      <c r="B264" s="100">
        <f ca="1">VLOOKUP(A264,'Listing Inventory'!$B$5:$D$642,3,FALSE)</f>
        <v>0</v>
      </c>
      <c r="C264" s="6">
        <v>4</v>
      </c>
      <c r="D264" s="4" t="s">
        <v>446</v>
      </c>
      <c r="E264" s="4">
        <f ca="1">SUMPRODUCT(B270:B271,C270:C271)</f>
        <v>12</v>
      </c>
      <c r="G264" s="68" t="s">
        <v>196</v>
      </c>
      <c r="H264" s="4">
        <f ca="1">ROUNDDOWN((E262/4),0)</f>
        <v>7</v>
      </c>
    </row>
    <row r="265" spans="1:8">
      <c r="A265" s="68" t="s">
        <v>197</v>
      </c>
      <c r="B265" s="100">
        <f ca="1">VLOOKUP(A265,'Listing Inventory'!$B$5:$D$642,3,FALSE)</f>
        <v>1.8</v>
      </c>
      <c r="C265" s="6">
        <v>5</v>
      </c>
      <c r="D265" s="4" t="s">
        <v>447</v>
      </c>
      <c r="E265" s="4">
        <f ca="1">SUMPRODUCT(B272:B275,C272:C275)</f>
        <v>9</v>
      </c>
      <c r="G265" s="68" t="s">
        <v>197</v>
      </c>
      <c r="H265" s="4">
        <f ca="1">ROUNDDOWN((E262/5),0)</f>
        <v>5</v>
      </c>
    </row>
    <row r="266" spans="1:8">
      <c r="A266" s="37" t="s">
        <v>445</v>
      </c>
      <c r="B266" s="100">
        <f ca="1">VLOOKUP(A266,'Listing Inventory'!$B$5:$D$642,3,FALSE)</f>
        <v>5</v>
      </c>
      <c r="C266" s="6">
        <v>1</v>
      </c>
      <c r="D266" s="4"/>
      <c r="E266" s="4"/>
      <c r="G266" s="37" t="s">
        <v>445</v>
      </c>
      <c r="H266" s="4">
        <f ca="1">E263</f>
        <v>25.999999999999993</v>
      </c>
    </row>
    <row r="267" spans="1:8">
      <c r="A267" s="37" t="s">
        <v>198</v>
      </c>
      <c r="B267" s="100">
        <f ca="1">VLOOKUP(A267,'Listing Inventory'!$B$5:$D$642,3,FALSE)</f>
        <v>2</v>
      </c>
      <c r="C267" s="6">
        <v>2</v>
      </c>
      <c r="D267" s="4"/>
      <c r="E267" s="4"/>
      <c r="G267" s="37" t="s">
        <v>198</v>
      </c>
      <c r="H267" s="4">
        <f ca="1">ROUNDDOWN((E263/2),0)</f>
        <v>13</v>
      </c>
    </row>
    <row r="268" spans="1:8">
      <c r="A268" s="37" t="s">
        <v>199</v>
      </c>
      <c r="B268" s="100">
        <f ca="1">VLOOKUP(A268,'Listing Inventory'!$B$5:$D$642,3,FALSE)</f>
        <v>1</v>
      </c>
      <c r="C268" s="6">
        <v>4</v>
      </c>
      <c r="D268" s="4"/>
      <c r="E268" s="4"/>
      <c r="G268" s="37" t="s">
        <v>199</v>
      </c>
      <c r="H268" s="4">
        <f ca="1">ROUNDDOWN((E263/4),0)</f>
        <v>6</v>
      </c>
    </row>
    <row r="269" spans="1:8">
      <c r="A269" s="37" t="s">
        <v>15</v>
      </c>
      <c r="B269" s="100">
        <f ca="1">VLOOKUP(A269,'Listing Inventory'!$B$5:$D$642,3,FALSE)</f>
        <v>2.5999999999999983</v>
      </c>
      <c r="C269" s="6">
        <v>5</v>
      </c>
      <c r="D269" s="4"/>
      <c r="E269" s="4"/>
      <c r="G269" s="37" t="s">
        <v>15</v>
      </c>
      <c r="H269" s="4">
        <f ca="1">ROUNDDOWN((E263/5),0)</f>
        <v>5</v>
      </c>
    </row>
    <row r="270" spans="1:8">
      <c r="A270" s="37" t="s">
        <v>446</v>
      </c>
      <c r="B270" s="100">
        <f ca="1">VLOOKUP(A270,'Listing Inventory'!$B$5:$D$642,3,FALSE)</f>
        <v>6</v>
      </c>
      <c r="C270" s="6">
        <v>1</v>
      </c>
      <c r="D270" s="4"/>
      <c r="E270" s="4"/>
      <c r="G270" s="37" t="s">
        <v>446</v>
      </c>
      <c r="H270" s="4">
        <f ca="1">E264</f>
        <v>12</v>
      </c>
    </row>
    <row r="271" spans="1:8">
      <c r="A271" s="37" t="s">
        <v>200</v>
      </c>
      <c r="B271" s="100">
        <f ca="1">VLOOKUP(A271,'Listing Inventory'!$B$5:$D$642,3,FALSE)</f>
        <v>3</v>
      </c>
      <c r="C271" s="6">
        <v>2</v>
      </c>
      <c r="D271" s="4"/>
      <c r="E271" s="4"/>
      <c r="G271" s="37" t="s">
        <v>200</v>
      </c>
      <c r="H271" s="4">
        <f ca="1">ROUNDDOWN((E264/2),0)</f>
        <v>6</v>
      </c>
    </row>
    <row r="272" spans="1:8">
      <c r="A272" s="37" t="s">
        <v>201</v>
      </c>
      <c r="B272" s="100">
        <f ca="1">VLOOKUP(A272,'Listing Inventory'!$B$5:$D$642,3,FALSE)</f>
        <v>0</v>
      </c>
      <c r="C272" s="6">
        <v>1</v>
      </c>
      <c r="D272" s="4"/>
      <c r="E272" s="4"/>
      <c r="G272" s="37" t="s">
        <v>201</v>
      </c>
      <c r="H272" s="4">
        <f ca="1">E265</f>
        <v>9</v>
      </c>
    </row>
    <row r="273" spans="1:8">
      <c r="A273" s="37" t="s">
        <v>202</v>
      </c>
      <c r="B273" s="100">
        <f ca="1">VLOOKUP(A273,'Listing Inventory'!$B$5:$D$642,3,FALSE)</f>
        <v>0</v>
      </c>
      <c r="C273" s="6">
        <v>2</v>
      </c>
      <c r="D273" s="4"/>
      <c r="E273" s="4"/>
      <c r="G273" s="37" t="s">
        <v>202</v>
      </c>
      <c r="H273" s="4">
        <f ca="1">ROUNDDOWN((E265/2),0)</f>
        <v>4</v>
      </c>
    </row>
    <row r="274" spans="1:8">
      <c r="A274" s="37" t="s">
        <v>203</v>
      </c>
      <c r="B274" s="100">
        <f ca="1">VLOOKUP(A274,'Listing Inventory'!$B$5:$D$642,3,FALSE)</f>
        <v>0</v>
      </c>
      <c r="C274" s="6">
        <v>4</v>
      </c>
      <c r="D274" s="4"/>
      <c r="E274" s="4"/>
      <c r="G274" s="37" t="s">
        <v>203</v>
      </c>
      <c r="H274" s="4">
        <f ca="1">ROUNDDOWN((E265/4),0)</f>
        <v>2</v>
      </c>
    </row>
    <row r="275" spans="1:8">
      <c r="A275" s="37" t="s">
        <v>204</v>
      </c>
      <c r="B275" s="100">
        <f ca="1">VLOOKUP(A275,'Listing Inventory'!$B$5:$D$642,3,FALSE)</f>
        <v>1.8</v>
      </c>
      <c r="C275" s="6">
        <v>5</v>
      </c>
      <c r="D275" s="4"/>
      <c r="E275" s="4"/>
      <c r="G275" s="37" t="s">
        <v>204</v>
      </c>
      <c r="H275" s="4">
        <f ca="1">ROUNDDOWN((E265/5),0)</f>
        <v>1</v>
      </c>
    </row>
    <row r="276" spans="1:8">
      <c r="A276" s="4"/>
      <c r="B276" s="100"/>
      <c r="D276" s="4"/>
      <c r="E276" s="4"/>
      <c r="G276" s="4"/>
      <c r="H276" s="4"/>
    </row>
    <row r="277" spans="1:8">
      <c r="A277" s="65"/>
      <c r="B277" s="100"/>
      <c r="C277" s="66"/>
      <c r="D277" s="65"/>
      <c r="E277" s="65"/>
      <c r="F277" s="66"/>
      <c r="G277" s="65"/>
      <c r="H277" s="14"/>
    </row>
    <row r="278" spans="1:8">
      <c r="A278" s="14"/>
      <c r="B278" s="100"/>
      <c r="C278" s="16"/>
      <c r="D278" s="14"/>
      <c r="E278" s="14"/>
      <c r="F278" s="16"/>
      <c r="G278" s="14"/>
      <c r="H278" s="14"/>
    </row>
    <row r="279" spans="1:8">
      <c r="A279" s="37" t="s">
        <v>448</v>
      </c>
      <c r="B279" s="100">
        <f ca="1">VLOOKUP(A279,'Listing Inventory'!$B$5:$D$642,3,FALSE)</f>
        <v>0</v>
      </c>
      <c r="C279" s="16">
        <v>1</v>
      </c>
      <c r="D279" s="14" t="s">
        <v>777</v>
      </c>
      <c r="E279" s="14">
        <f ca="1">SUMPRODUCT(B279:B281,C279:C281)</f>
        <v>12</v>
      </c>
      <c r="F279" s="16"/>
      <c r="G279" s="37" t="s">
        <v>448</v>
      </c>
      <c r="H279" s="14">
        <f ca="1">E279</f>
        <v>12</v>
      </c>
    </row>
    <row r="280" spans="1:8">
      <c r="A280" s="37" t="s">
        <v>449</v>
      </c>
      <c r="B280" s="100">
        <f ca="1">VLOOKUP(A280,'Listing Inventory'!$B$5:$D$642,3,FALSE)</f>
        <v>0</v>
      </c>
      <c r="C280" s="16">
        <v>2</v>
      </c>
      <c r="D280" s="14" t="s">
        <v>205</v>
      </c>
      <c r="E280" s="14">
        <f ca="1">SUMPRODUCT(B282:B284,C282:C284)</f>
        <v>24</v>
      </c>
      <c r="F280" s="16"/>
      <c r="G280" s="37" t="s">
        <v>449</v>
      </c>
      <c r="H280" s="14">
        <f ca="1">ROUNDDOWN((E279/2),0)</f>
        <v>6</v>
      </c>
    </row>
    <row r="281" spans="1:8">
      <c r="A281" s="37" t="s">
        <v>450</v>
      </c>
      <c r="B281" s="100">
        <f ca="1">VLOOKUP(A281,'Listing Inventory'!$B$5:$D$642,3,FALSE)</f>
        <v>3</v>
      </c>
      <c r="C281" s="16">
        <v>4</v>
      </c>
      <c r="D281" s="14" t="s">
        <v>778</v>
      </c>
      <c r="E281" s="14">
        <f ca="1">SUMPRODUCT(B285:B287,C285:C287)</f>
        <v>120</v>
      </c>
      <c r="F281" s="16"/>
      <c r="G281" s="37" t="s">
        <v>450</v>
      </c>
      <c r="H281" s="14">
        <f ca="1">ROUNDDOWN((E279/4),0)</f>
        <v>3</v>
      </c>
    </row>
    <row r="282" spans="1:8">
      <c r="A282" s="37" t="s">
        <v>205</v>
      </c>
      <c r="B282" s="100">
        <f ca="1">VLOOKUP(A282,'Listing Inventory'!$B$5:$D$642,3,FALSE)</f>
        <v>8</v>
      </c>
      <c r="C282" s="16">
        <v>1</v>
      </c>
      <c r="D282" s="14" t="s">
        <v>451</v>
      </c>
      <c r="E282" s="14">
        <f ca="1">B288</f>
        <v>0</v>
      </c>
      <c r="F282" s="16"/>
      <c r="G282" s="37" t="s">
        <v>205</v>
      </c>
      <c r="H282" s="14">
        <f ca="1">E280</f>
        <v>24</v>
      </c>
    </row>
    <row r="283" spans="1:8">
      <c r="A283" s="37" t="s">
        <v>206</v>
      </c>
      <c r="B283" s="100">
        <f ca="1">VLOOKUP(A283,'Listing Inventory'!$B$5:$D$642,3,FALSE)</f>
        <v>4</v>
      </c>
      <c r="C283" s="16">
        <v>2</v>
      </c>
      <c r="D283" s="14" t="s">
        <v>211</v>
      </c>
      <c r="E283" s="14">
        <f ca="1">SUMPRODUCT(B289:B290,C289:C290)</f>
        <v>12</v>
      </c>
      <c r="F283" s="16"/>
      <c r="G283" s="37" t="s">
        <v>206</v>
      </c>
      <c r="H283" s="14">
        <f ca="1">ROUNDDOWN((E280/2),0)</f>
        <v>12</v>
      </c>
    </row>
    <row r="284" spans="1:8">
      <c r="A284" s="37" t="s">
        <v>207</v>
      </c>
      <c r="B284" s="100">
        <f ca="1">VLOOKUP(A284,'Listing Inventory'!$B$5:$D$642,3,FALSE)</f>
        <v>2</v>
      </c>
      <c r="C284" s="16">
        <v>4</v>
      </c>
      <c r="D284" s="14" t="s">
        <v>212</v>
      </c>
      <c r="E284" s="14">
        <f ca="1">SUMPRODUCT(B291:B293,C291:C293)</f>
        <v>0</v>
      </c>
      <c r="F284" s="16"/>
      <c r="G284" s="37" t="s">
        <v>207</v>
      </c>
      <c r="H284" s="14">
        <f ca="1">ROUNDDOWN((E280/4),0)</f>
        <v>6</v>
      </c>
    </row>
    <row r="285" spans="1:8">
      <c r="A285" s="37" t="s">
        <v>208</v>
      </c>
      <c r="B285" s="100">
        <f ca="1">VLOOKUP(A285,'Listing Inventory'!$B$5:$D$642,3,FALSE)</f>
        <v>0</v>
      </c>
      <c r="C285" s="16">
        <v>1</v>
      </c>
      <c r="D285" s="14" t="s">
        <v>454</v>
      </c>
      <c r="E285" s="14">
        <f ca="1">SUMPRODUCT(B294:B296,C294:C296)</f>
        <v>0</v>
      </c>
      <c r="F285" s="16"/>
      <c r="G285" s="37" t="s">
        <v>208</v>
      </c>
      <c r="H285" s="14">
        <f ca="1">E281</f>
        <v>120</v>
      </c>
    </row>
    <row r="286" spans="1:8">
      <c r="A286" s="68" t="s">
        <v>209</v>
      </c>
      <c r="B286" s="100">
        <f ca="1">VLOOKUP(A286,'Listing Inventory'!$B$5:$D$642,3,FALSE)</f>
        <v>0</v>
      </c>
      <c r="C286" s="16">
        <v>2</v>
      </c>
      <c r="D286" s="14" t="s">
        <v>779</v>
      </c>
      <c r="E286" s="14">
        <f ca="1">SUMPRODUCT(B297:B299,C297:C299)</f>
        <v>16</v>
      </c>
      <c r="F286" s="16"/>
      <c r="G286" s="68" t="s">
        <v>209</v>
      </c>
      <c r="H286" s="14">
        <f ca="1">ROUNDDOWN((E281/2),0)</f>
        <v>60</v>
      </c>
    </row>
    <row r="287" spans="1:8">
      <c r="A287" s="68" t="s">
        <v>210</v>
      </c>
      <c r="B287" s="100">
        <f ca="1">VLOOKUP(A287,'Listing Inventory'!$B$5:$D$642,3,FALSE)</f>
        <v>30</v>
      </c>
      <c r="C287" s="16">
        <v>4</v>
      </c>
      <c r="D287" s="14"/>
      <c r="E287" s="14"/>
      <c r="F287" s="16"/>
      <c r="G287" s="68" t="s">
        <v>210</v>
      </c>
      <c r="H287" s="14">
        <f ca="1">ROUNDDOWN((E281/4),0)</f>
        <v>30</v>
      </c>
    </row>
    <row r="288" spans="1:8">
      <c r="A288" s="68" t="s">
        <v>451</v>
      </c>
      <c r="B288" s="100">
        <f ca="1">VLOOKUP(A288,'Listing Inventory'!$B$5:$D$642,3,FALSE)</f>
        <v>0</v>
      </c>
      <c r="C288" s="16">
        <v>1</v>
      </c>
      <c r="D288" s="14"/>
      <c r="E288" s="14"/>
      <c r="F288" s="16"/>
      <c r="G288" s="68" t="s">
        <v>451</v>
      </c>
      <c r="H288" s="14">
        <f ca="1">E282</f>
        <v>0</v>
      </c>
    </row>
    <row r="289" spans="1:8">
      <c r="A289" s="68" t="s">
        <v>211</v>
      </c>
      <c r="B289" s="100">
        <f ca="1">VLOOKUP(A289,'Listing Inventory'!$B$5:$D$642,3,FALSE)</f>
        <v>12</v>
      </c>
      <c r="C289" s="16">
        <v>1</v>
      </c>
      <c r="D289" s="14"/>
      <c r="E289" s="14"/>
      <c r="F289" s="16"/>
      <c r="G289" s="68" t="s">
        <v>211</v>
      </c>
      <c r="H289" s="14">
        <f ca="1">E283</f>
        <v>12</v>
      </c>
    </row>
    <row r="290" spans="1:8">
      <c r="A290" s="68" t="s">
        <v>452</v>
      </c>
      <c r="B290" s="100">
        <f ca="1">VLOOKUP(A290,'Listing Inventory'!$B$5:$D$642,3,FALSE)</f>
        <v>0</v>
      </c>
      <c r="C290" s="16">
        <v>2</v>
      </c>
      <c r="D290" s="14"/>
      <c r="E290" s="14"/>
      <c r="F290" s="16"/>
      <c r="G290" s="68" t="s">
        <v>452</v>
      </c>
      <c r="H290" s="14">
        <f ca="1">ROUNDDOWN((E283/2),0)</f>
        <v>6</v>
      </c>
    </row>
    <row r="291" spans="1:8">
      <c r="A291" s="68" t="s">
        <v>212</v>
      </c>
      <c r="B291" s="100">
        <f ca="1">VLOOKUP(A291,'Listing Inventory'!$B$5:$D$642,3,FALSE)</f>
        <v>0</v>
      </c>
      <c r="C291" s="16">
        <v>1</v>
      </c>
      <c r="D291" s="14"/>
      <c r="E291" s="14"/>
      <c r="F291" s="16"/>
      <c r="G291" s="68" t="s">
        <v>212</v>
      </c>
      <c r="H291" s="14">
        <f ca="1">E284</f>
        <v>0</v>
      </c>
    </row>
    <row r="292" spans="1:8">
      <c r="A292" s="68" t="s">
        <v>213</v>
      </c>
      <c r="B292" s="100">
        <f ca="1">VLOOKUP(A292,'Listing Inventory'!$B$5:$D$642,3,FALSE)</f>
        <v>0</v>
      </c>
      <c r="C292" s="16">
        <v>2</v>
      </c>
      <c r="D292" s="14"/>
      <c r="E292" s="14"/>
      <c r="F292" s="16"/>
      <c r="G292" s="68" t="s">
        <v>213</v>
      </c>
      <c r="H292" s="14">
        <f ca="1">ROUNDDOWN((E284/2),0)</f>
        <v>0</v>
      </c>
    </row>
    <row r="293" spans="1:8">
      <c r="A293" s="68" t="s">
        <v>453</v>
      </c>
      <c r="B293" s="100">
        <f ca="1">VLOOKUP(A293,'Listing Inventory'!$B$5:$D$642,3,FALSE)</f>
        <v>0</v>
      </c>
      <c r="C293" s="16">
        <v>4</v>
      </c>
      <c r="D293" s="14"/>
      <c r="E293" s="14"/>
      <c r="F293" s="16"/>
      <c r="G293" s="68" t="s">
        <v>453</v>
      </c>
      <c r="H293" s="14">
        <f ca="1">ROUNDDOWN((E284/4),0)</f>
        <v>0</v>
      </c>
    </row>
    <row r="294" spans="1:8">
      <c r="A294" s="68" t="s">
        <v>454</v>
      </c>
      <c r="B294" s="100">
        <f ca="1">VLOOKUP(A294,'Listing Inventory'!$B$5:$D$642,3,FALSE)</f>
        <v>0</v>
      </c>
      <c r="C294" s="16">
        <v>1</v>
      </c>
      <c r="D294" s="14"/>
      <c r="E294" s="14"/>
      <c r="F294" s="16"/>
      <c r="G294" s="68" t="s">
        <v>454</v>
      </c>
      <c r="H294" s="14">
        <f ca="1">E285</f>
        <v>0</v>
      </c>
    </row>
    <row r="295" spans="1:8">
      <c r="A295" s="68" t="s">
        <v>455</v>
      </c>
      <c r="B295" s="100">
        <f ca="1">VLOOKUP(A295,'Listing Inventory'!$B$5:$D$642,3,FALSE)</f>
        <v>0</v>
      </c>
      <c r="C295" s="16">
        <v>2</v>
      </c>
      <c r="D295" s="14"/>
      <c r="E295" s="14"/>
      <c r="F295" s="16"/>
      <c r="G295" s="68" t="s">
        <v>455</v>
      </c>
      <c r="H295" s="14">
        <f ca="1">ROUNDDOWN((E285/2),0)</f>
        <v>0</v>
      </c>
    </row>
    <row r="296" spans="1:8">
      <c r="A296" s="68" t="s">
        <v>691</v>
      </c>
      <c r="B296" s="100">
        <f ca="1">VLOOKUP(A296,'Listing Inventory'!$B$5:$D$642,3,FALSE)</f>
        <v>0</v>
      </c>
      <c r="C296" s="16">
        <v>4</v>
      </c>
      <c r="D296" s="14"/>
      <c r="E296" s="14"/>
      <c r="F296" s="16"/>
      <c r="G296" s="68" t="s">
        <v>691</v>
      </c>
      <c r="H296" s="14">
        <f ca="1">ROUNDDOWN((E285/4),0)</f>
        <v>0</v>
      </c>
    </row>
    <row r="297" spans="1:8">
      <c r="A297" s="68" t="s">
        <v>214</v>
      </c>
      <c r="B297" s="100">
        <f ca="1">VLOOKUP(A297,'Listing Inventory'!$B$5:$D$642,3,FALSE)</f>
        <v>0</v>
      </c>
      <c r="C297" s="16">
        <v>1</v>
      </c>
      <c r="D297" s="14"/>
      <c r="E297" s="14"/>
      <c r="F297" s="16"/>
      <c r="G297" s="68" t="s">
        <v>214</v>
      </c>
      <c r="H297" s="14">
        <f ca="1">E286</f>
        <v>16</v>
      </c>
    </row>
    <row r="298" spans="1:8">
      <c r="A298" s="68" t="s">
        <v>215</v>
      </c>
      <c r="B298" s="100">
        <f ca="1">VLOOKUP(A298,'Listing Inventory'!$B$5:$D$642,3,FALSE)</f>
        <v>0</v>
      </c>
      <c r="C298" s="16">
        <v>2</v>
      </c>
      <c r="D298" s="14"/>
      <c r="E298" s="14"/>
      <c r="F298" s="16"/>
      <c r="G298" s="68" t="s">
        <v>215</v>
      </c>
      <c r="H298" s="14">
        <f ca="1">ROUNDDOWN((E286/2),0)</f>
        <v>8</v>
      </c>
    </row>
    <row r="299" spans="1:8">
      <c r="A299" s="68" t="s">
        <v>216</v>
      </c>
      <c r="B299" s="100">
        <f ca="1">VLOOKUP(A299,'Listing Inventory'!$B$5:$D$642,3,FALSE)</f>
        <v>4</v>
      </c>
      <c r="C299" s="16">
        <v>4</v>
      </c>
      <c r="D299" s="14"/>
      <c r="E299" s="14"/>
      <c r="F299" s="16"/>
      <c r="G299" s="68" t="s">
        <v>216</v>
      </c>
      <c r="H299" s="14">
        <f ca="1">ROUNDDOWN((E286/4),0)</f>
        <v>4</v>
      </c>
    </row>
    <row r="300" spans="1:8">
      <c r="A300" s="14"/>
      <c r="B300" s="100"/>
      <c r="C300" s="16"/>
      <c r="D300" s="14"/>
      <c r="E300" s="14"/>
      <c r="F300" s="16"/>
      <c r="G300" s="14"/>
      <c r="H300" s="14"/>
    </row>
    <row r="301" spans="1:8">
      <c r="A301" s="65"/>
      <c r="B301" s="100"/>
      <c r="C301" s="66"/>
      <c r="D301" s="65"/>
      <c r="E301" s="65"/>
      <c r="F301" s="66"/>
      <c r="G301" s="65"/>
      <c r="H301" s="14"/>
    </row>
    <row r="302" spans="1:8">
      <c r="A302" s="14"/>
      <c r="B302" s="100"/>
      <c r="C302" s="16"/>
      <c r="D302" s="14"/>
      <c r="E302" s="14"/>
      <c r="F302" s="16"/>
      <c r="G302" s="14"/>
      <c r="H302" s="14"/>
    </row>
    <row r="303" spans="1:8">
      <c r="A303" s="68" t="s">
        <v>765</v>
      </c>
      <c r="B303" s="100">
        <f ca="1">VLOOKUP(A303,'Listing Inventory'!$B$5:$D$642,3,FALSE)</f>
        <v>0</v>
      </c>
      <c r="C303" s="16">
        <v>1</v>
      </c>
      <c r="D303" s="14" t="s">
        <v>703</v>
      </c>
      <c r="E303" s="14">
        <f ca="1">SUMPRODUCT(B303:B304,C303:C304)</f>
        <v>0</v>
      </c>
      <c r="F303" s="16"/>
      <c r="G303" s="68" t="s">
        <v>765</v>
      </c>
      <c r="H303" s="14">
        <f ca="1">E303</f>
        <v>0</v>
      </c>
    </row>
    <row r="304" spans="1:8">
      <c r="A304" s="68" t="s">
        <v>704</v>
      </c>
      <c r="B304" s="100">
        <f ca="1">VLOOKUP(A304,'Listing Inventory'!$B$5:$D$642,3,FALSE)</f>
        <v>0</v>
      </c>
      <c r="C304" s="16">
        <v>2</v>
      </c>
      <c r="D304" s="14" t="s">
        <v>667</v>
      </c>
      <c r="E304" s="14">
        <f ca="1">SUMPRODUCT(B305:B306,C305:C306)</f>
        <v>0</v>
      </c>
      <c r="F304" s="16"/>
      <c r="G304" s="68" t="s">
        <v>704</v>
      </c>
      <c r="H304" s="14">
        <f ca="1">ROUNDDOWN((E303/2),0)</f>
        <v>0</v>
      </c>
    </row>
    <row r="305" spans="1:8">
      <c r="A305" s="68" t="s">
        <v>217</v>
      </c>
      <c r="B305" s="100">
        <f ca="1">VLOOKUP(A305,'Listing Inventory'!$B$5:$D$642,3,FALSE)</f>
        <v>0</v>
      </c>
      <c r="C305" s="16">
        <v>1</v>
      </c>
      <c r="D305" s="14" t="s">
        <v>702</v>
      </c>
      <c r="E305" s="14">
        <f ca="1">SUMPRODUCT(B307:B308,C307:C308)</f>
        <v>0</v>
      </c>
      <c r="F305" s="16"/>
      <c r="G305" s="68" t="s">
        <v>217</v>
      </c>
      <c r="H305" s="14">
        <f ca="1">E304</f>
        <v>0</v>
      </c>
    </row>
    <row r="306" spans="1:8">
      <c r="A306" s="68" t="s">
        <v>218</v>
      </c>
      <c r="B306" s="100">
        <f ca="1">VLOOKUP(A306,'Listing Inventory'!$B$5:$D$642,3,FALSE)</f>
        <v>0</v>
      </c>
      <c r="C306" s="16">
        <v>2</v>
      </c>
      <c r="D306" s="14"/>
      <c r="E306" s="14"/>
      <c r="F306" s="16"/>
      <c r="G306" s="68" t="s">
        <v>218</v>
      </c>
      <c r="H306" s="14">
        <f ca="1">ROUNDDOWN((E304/2),0)</f>
        <v>0</v>
      </c>
    </row>
    <row r="307" spans="1:8">
      <c r="A307" s="68" t="s">
        <v>766</v>
      </c>
      <c r="B307" s="100">
        <f ca="1">VLOOKUP(A307,'Listing Inventory'!$B$5:$D$642,3,FALSE)</f>
        <v>0</v>
      </c>
      <c r="C307" s="16">
        <v>1</v>
      </c>
      <c r="D307" s="14"/>
      <c r="E307" s="14"/>
      <c r="F307" s="16"/>
      <c r="G307" s="68" t="s">
        <v>766</v>
      </c>
      <c r="H307" s="14">
        <f ca="1">E305</f>
        <v>0</v>
      </c>
    </row>
    <row r="308" spans="1:8">
      <c r="A308" s="68" t="s">
        <v>701</v>
      </c>
      <c r="B308" s="100">
        <f ca="1">VLOOKUP(A308,'Listing Inventory'!$B$5:$D$642,3,FALSE)</f>
        <v>0</v>
      </c>
      <c r="C308" s="16">
        <v>2</v>
      </c>
      <c r="D308" s="14"/>
      <c r="E308" s="14"/>
      <c r="F308" s="16"/>
      <c r="G308" s="68" t="s">
        <v>701</v>
      </c>
      <c r="H308" s="14">
        <f ca="1">ROUNDDOWN((E305/2),0)</f>
        <v>0</v>
      </c>
    </row>
    <row r="309" spans="1:8">
      <c r="A309" s="14"/>
      <c r="B309" s="100"/>
      <c r="C309" s="16"/>
      <c r="D309" s="14"/>
      <c r="E309" s="14"/>
      <c r="F309" s="16"/>
      <c r="G309" s="14"/>
      <c r="H309" s="14"/>
    </row>
    <row r="310" spans="1:8">
      <c r="A310" s="65"/>
      <c r="B310" s="100"/>
      <c r="C310" s="66"/>
      <c r="D310" s="65"/>
      <c r="E310" s="65"/>
      <c r="F310" s="66"/>
      <c r="G310" s="65"/>
      <c r="H310" s="14"/>
    </row>
    <row r="311" spans="1:8">
      <c r="A311" s="14"/>
      <c r="B311" s="100"/>
      <c r="C311" s="16"/>
      <c r="D311" s="14"/>
      <c r="E311" s="14"/>
      <c r="F311" s="16"/>
      <c r="G311" s="14"/>
      <c r="H311" s="14"/>
    </row>
    <row r="312" spans="1:8">
      <c r="A312" s="68" t="s">
        <v>219</v>
      </c>
      <c r="B312" s="100">
        <f ca="1">VLOOKUP(A312,'Listing Inventory'!$B$5:$D$642,3,FALSE)</f>
        <v>0</v>
      </c>
      <c r="C312" s="16">
        <v>1</v>
      </c>
      <c r="D312" s="14" t="s">
        <v>461</v>
      </c>
      <c r="E312" s="14">
        <f ca="1">SUMPRODUCT(B312:B314,C312:C314)</f>
        <v>75</v>
      </c>
      <c r="F312" s="16"/>
      <c r="G312" s="68" t="s">
        <v>219</v>
      </c>
      <c r="H312" s="14">
        <f ca="1">E312</f>
        <v>75</v>
      </c>
    </row>
    <row r="313" spans="1:8">
      <c r="A313" s="68" t="s">
        <v>220</v>
      </c>
      <c r="B313" s="100">
        <f ca="1">VLOOKUP(A313,'Listing Inventory'!$B$5:$D$642,3,FALSE)</f>
        <v>3</v>
      </c>
      <c r="C313" s="16">
        <v>2</v>
      </c>
      <c r="D313" s="14" t="s">
        <v>462</v>
      </c>
      <c r="E313" s="14">
        <f ca="1">SUMPRODUCT(B315:B317,C315:C317)</f>
        <v>86</v>
      </c>
      <c r="F313" s="16"/>
      <c r="G313" s="68" t="s">
        <v>220</v>
      </c>
      <c r="H313" s="14">
        <f ca="1">ROUNDDOWN((E312/2),0)</f>
        <v>37</v>
      </c>
    </row>
    <row r="314" spans="1:8">
      <c r="A314" s="68" t="s">
        <v>221</v>
      </c>
      <c r="B314" s="100">
        <f ca="1">VLOOKUP(A314,'Listing Inventory'!$B$5:$D$642,3,FALSE)</f>
        <v>17.25</v>
      </c>
      <c r="C314" s="16">
        <v>4</v>
      </c>
      <c r="D314" s="14" t="s">
        <v>804</v>
      </c>
      <c r="E314" s="14">
        <f ca="1">SUMPRODUCT(B318:B319,C318:C319)</f>
        <v>4</v>
      </c>
      <c r="F314" s="16"/>
      <c r="G314" s="68" t="s">
        <v>221</v>
      </c>
      <c r="H314" s="14">
        <f ca="1">ROUNDDOWN((E312/4),0)</f>
        <v>18</v>
      </c>
    </row>
    <row r="315" spans="1:8">
      <c r="A315" s="68" t="s">
        <v>223</v>
      </c>
      <c r="B315" s="100">
        <f ca="1">VLOOKUP(A315,'Listing Inventory'!$B$5:$D$642,3,FALSE)</f>
        <v>0</v>
      </c>
      <c r="C315" s="16">
        <v>1</v>
      </c>
      <c r="D315" s="14" t="s">
        <v>805</v>
      </c>
      <c r="E315" s="14">
        <f ca="1">SUMPRODUCT(B320:B321,C320:C321)</f>
        <v>12</v>
      </c>
      <c r="F315" s="16"/>
      <c r="G315" s="68" t="s">
        <v>223</v>
      </c>
      <c r="H315" s="14">
        <f ca="1">E313</f>
        <v>86</v>
      </c>
    </row>
    <row r="316" spans="1:8">
      <c r="A316" s="68" t="s">
        <v>224</v>
      </c>
      <c r="B316" s="100">
        <f ca="1">VLOOKUP(A316,'Listing Inventory'!$B$5:$D$642,3,FALSE)</f>
        <v>1</v>
      </c>
      <c r="C316" s="16">
        <v>2</v>
      </c>
      <c r="D316" s="14"/>
      <c r="E316" s="14"/>
      <c r="F316" s="16"/>
      <c r="G316" s="68" t="s">
        <v>224</v>
      </c>
      <c r="H316" s="14">
        <f ca="1">ROUNDDOWN((E313/2),0)</f>
        <v>43</v>
      </c>
    </row>
    <row r="317" spans="1:8">
      <c r="A317" s="68" t="s">
        <v>225</v>
      </c>
      <c r="B317" s="100">
        <f ca="1">VLOOKUP(A317,'Listing Inventory'!$B$5:$D$642,3,FALSE)</f>
        <v>21</v>
      </c>
      <c r="C317" s="16">
        <v>4</v>
      </c>
      <c r="D317" s="14"/>
      <c r="E317" s="14"/>
      <c r="F317" s="16"/>
      <c r="G317" s="68" t="s">
        <v>225</v>
      </c>
      <c r="H317" s="14">
        <f ca="1">ROUNDDOWN((E313/4),0)</f>
        <v>21</v>
      </c>
    </row>
    <row r="318" spans="1:8">
      <c r="A318" s="43" t="s">
        <v>730</v>
      </c>
      <c r="B318" s="100">
        <f ca="1">VLOOKUP(A318,'Listing Inventory'!$B$5:$D$642,3,FALSE)</f>
        <v>0</v>
      </c>
      <c r="C318" s="16">
        <v>1</v>
      </c>
      <c r="D318" s="14"/>
      <c r="E318" s="14"/>
      <c r="F318" s="16"/>
      <c r="G318" s="43" t="s">
        <v>730</v>
      </c>
      <c r="H318" s="14">
        <f ca="1">E314</f>
        <v>4</v>
      </c>
    </row>
    <row r="319" spans="1:8">
      <c r="A319" s="68" t="s">
        <v>222</v>
      </c>
      <c r="B319" s="100">
        <f ca="1">VLOOKUP(A319,'Listing Inventory'!$B$5:$D$642,3,FALSE)</f>
        <v>2</v>
      </c>
      <c r="C319" s="16">
        <v>2</v>
      </c>
      <c r="D319" s="14"/>
      <c r="E319" s="14"/>
      <c r="F319" s="16"/>
      <c r="G319" s="68" t="s">
        <v>222</v>
      </c>
      <c r="H319" s="14">
        <f ca="1">ROUNDDOWN((E314/2),0)</f>
        <v>2</v>
      </c>
    </row>
    <row r="320" spans="1:8">
      <c r="A320" s="6" t="s">
        <v>688</v>
      </c>
      <c r="B320" s="100">
        <f ca="1">VLOOKUP(A320,'Listing Inventory'!$B$5:$D$642,3,FALSE)</f>
        <v>0</v>
      </c>
      <c r="C320" s="16">
        <v>1</v>
      </c>
      <c r="D320" s="14"/>
      <c r="E320" s="14"/>
      <c r="F320" s="16"/>
      <c r="G320" s="6" t="s">
        <v>688</v>
      </c>
      <c r="H320" s="14">
        <f ca="1">E315</f>
        <v>12</v>
      </c>
    </row>
    <row r="321" spans="1:8">
      <c r="A321" s="43" t="s">
        <v>689</v>
      </c>
      <c r="B321" s="100">
        <f ca="1">VLOOKUP(A321,'Listing Inventory'!$B$5:$D$642,3,FALSE)</f>
        <v>6</v>
      </c>
      <c r="C321" s="16">
        <v>2</v>
      </c>
      <c r="D321" s="14"/>
      <c r="E321" s="14"/>
      <c r="F321" s="16"/>
      <c r="G321" s="43" t="s">
        <v>689</v>
      </c>
      <c r="H321" s="14">
        <f ca="1">ROUNDDOWN((E315/2),0)</f>
        <v>6</v>
      </c>
    </row>
    <row r="322" spans="1:8">
      <c r="A322" s="14"/>
      <c r="B322" s="100"/>
      <c r="C322" s="16"/>
      <c r="D322" s="14"/>
      <c r="E322" s="14"/>
      <c r="F322" s="16"/>
      <c r="G322" s="14"/>
      <c r="H322" s="14"/>
    </row>
    <row r="323" spans="1:8">
      <c r="A323" s="65"/>
      <c r="B323" s="100"/>
      <c r="C323" s="66"/>
      <c r="D323" s="65"/>
      <c r="E323" s="65"/>
      <c r="F323" s="66"/>
      <c r="G323" s="65"/>
      <c r="H323" s="14"/>
    </row>
    <row r="324" spans="1:8">
      <c r="A324" s="14"/>
      <c r="B324" s="100"/>
      <c r="C324" s="16"/>
      <c r="D324" s="14"/>
      <c r="E324" s="14"/>
      <c r="F324" s="16"/>
      <c r="G324" s="14"/>
      <c r="H324" s="14"/>
    </row>
    <row r="325" spans="1:8">
      <c r="A325" s="68" t="s">
        <v>226</v>
      </c>
      <c r="B325" s="100">
        <f ca="1">VLOOKUP(A325,'Listing Inventory'!$B$5:$D$642,3,FALSE)</f>
        <v>0</v>
      </c>
      <c r="C325" s="16">
        <v>1</v>
      </c>
      <c r="D325" s="14" t="s">
        <v>611</v>
      </c>
      <c r="E325" s="14">
        <f ca="1">SUMPRODUCT(B325:B327,C325:C327)</f>
        <v>52</v>
      </c>
      <c r="F325" s="16"/>
      <c r="G325" s="68" t="s">
        <v>226</v>
      </c>
      <c r="H325" s="14">
        <f ca="1">E325</f>
        <v>52</v>
      </c>
    </row>
    <row r="326" spans="1:8">
      <c r="A326" s="68" t="s">
        <v>227</v>
      </c>
      <c r="B326" s="100">
        <f ca="1">VLOOKUP(A326,'Listing Inventory'!$B$5:$D$642,3,FALSE)</f>
        <v>8</v>
      </c>
      <c r="C326" s="16">
        <v>2</v>
      </c>
      <c r="D326" s="14" t="s">
        <v>613</v>
      </c>
      <c r="E326" s="14">
        <f ca="1">SUMPRODUCT(B328:B330,C328:C330)</f>
        <v>47</v>
      </c>
      <c r="F326" s="16"/>
      <c r="G326" s="68" t="s">
        <v>227</v>
      </c>
      <c r="H326" s="14">
        <f ca="1">ROUNDDOWN((E325/2),0)</f>
        <v>26</v>
      </c>
    </row>
    <row r="327" spans="1:8">
      <c r="A327" s="68" t="s">
        <v>61</v>
      </c>
      <c r="B327" s="100">
        <f ca="1">VLOOKUP(A327,'Listing Inventory'!$B$5:$D$642,3,FALSE)</f>
        <v>9</v>
      </c>
      <c r="C327" s="16">
        <v>4</v>
      </c>
      <c r="D327" s="14"/>
      <c r="E327" s="14"/>
      <c r="F327" s="16"/>
      <c r="G327" s="68" t="s">
        <v>61</v>
      </c>
      <c r="H327" s="14">
        <f ca="1">ROUNDDOWN((E325/4),0)</f>
        <v>13</v>
      </c>
    </row>
    <row r="328" spans="1:8">
      <c r="A328" s="68" t="s">
        <v>228</v>
      </c>
      <c r="B328" s="100">
        <f ca="1">VLOOKUP(A328,'Listing Inventory'!$B$5:$D$642,3,FALSE)</f>
        <v>8</v>
      </c>
      <c r="C328" s="16">
        <v>1</v>
      </c>
      <c r="D328" s="14"/>
      <c r="E328" s="14"/>
      <c r="F328" s="16"/>
      <c r="G328" s="68" t="s">
        <v>228</v>
      </c>
      <c r="H328" s="14">
        <f ca="1">E326</f>
        <v>47</v>
      </c>
    </row>
    <row r="329" spans="1:8">
      <c r="A329" s="68" t="s">
        <v>229</v>
      </c>
      <c r="B329" s="100">
        <f ca="1">VLOOKUP(A329,'Listing Inventory'!$B$5:$D$642,3,FALSE)</f>
        <v>3.5</v>
      </c>
      <c r="C329" s="16">
        <v>2</v>
      </c>
      <c r="D329" s="14"/>
      <c r="E329" s="14"/>
      <c r="F329" s="16"/>
      <c r="G329" s="68" t="s">
        <v>229</v>
      </c>
      <c r="H329" s="14">
        <f ca="1">ROUNDDOWN((E326/2),0)</f>
        <v>23</v>
      </c>
    </row>
    <row r="330" spans="1:8">
      <c r="A330" s="68" t="s">
        <v>62</v>
      </c>
      <c r="B330" s="100">
        <f ca="1">VLOOKUP(A330,'Listing Inventory'!$B$5:$D$642,3,FALSE)</f>
        <v>8</v>
      </c>
      <c r="C330" s="16">
        <v>4</v>
      </c>
      <c r="D330" s="14"/>
      <c r="E330" s="14"/>
      <c r="F330" s="16"/>
      <c r="G330" s="68" t="s">
        <v>62</v>
      </c>
      <c r="H330" s="14">
        <f ca="1">ROUNDDOWN((E326/4),0)</f>
        <v>11</v>
      </c>
    </row>
    <row r="331" spans="1:8">
      <c r="A331" s="14"/>
      <c r="B331" s="100"/>
      <c r="C331" s="16"/>
      <c r="D331" s="14"/>
      <c r="E331" s="14"/>
      <c r="F331" s="16"/>
      <c r="G331" s="14"/>
      <c r="H331" s="14"/>
    </row>
    <row r="332" spans="1:8">
      <c r="A332" s="65"/>
      <c r="B332" s="100"/>
      <c r="C332" s="66"/>
      <c r="D332" s="65"/>
      <c r="E332" s="65"/>
      <c r="F332" s="66"/>
      <c r="G332" s="65"/>
      <c r="H332" s="14"/>
    </row>
    <row r="333" spans="1:8">
      <c r="A333" s="14"/>
      <c r="B333" s="100"/>
      <c r="C333" s="16"/>
      <c r="D333" s="14"/>
      <c r="E333" s="14"/>
      <c r="F333" s="16"/>
      <c r="G333" s="14"/>
      <c r="H333" s="14"/>
    </row>
    <row r="334" spans="1:8">
      <c r="A334" s="68" t="s">
        <v>230</v>
      </c>
      <c r="B334" s="100">
        <f ca="1">VLOOKUP(A334,'Listing Inventory'!$B$5:$D$642,3,FALSE)</f>
        <v>9</v>
      </c>
      <c r="C334" s="16">
        <v>1</v>
      </c>
      <c r="D334" s="14" t="s">
        <v>668</v>
      </c>
      <c r="E334" s="14">
        <f ca="1">SUMPRODUCT(B334:B336,C334:C336)</f>
        <v>23</v>
      </c>
      <c r="F334" s="16"/>
      <c r="G334" s="68" t="s">
        <v>230</v>
      </c>
      <c r="H334" s="14">
        <f ca="1">E334</f>
        <v>23</v>
      </c>
    </row>
    <row r="335" spans="1:8">
      <c r="A335" s="68" t="s">
        <v>231</v>
      </c>
      <c r="B335" s="100">
        <f ca="1">VLOOKUP(A335,'Listing Inventory'!$B$5:$D$642,3,FALSE)</f>
        <v>5</v>
      </c>
      <c r="C335" s="16">
        <v>2</v>
      </c>
      <c r="D335" s="14" t="s">
        <v>669</v>
      </c>
      <c r="E335" s="14">
        <f ca="1">SUMPRODUCT(B337:B339,C337:C339)</f>
        <v>49</v>
      </c>
      <c r="F335" s="16"/>
      <c r="G335" s="68" t="s">
        <v>231</v>
      </c>
      <c r="H335" s="14">
        <f ca="1">ROUNDDOWN((E334/2),0)</f>
        <v>11</v>
      </c>
    </row>
    <row r="336" spans="1:8">
      <c r="A336" s="68" t="s">
        <v>232</v>
      </c>
      <c r="B336" s="100">
        <f ca="1">VLOOKUP(A336,'Listing Inventory'!$B$5:$D$642,3,FALSE)</f>
        <v>1</v>
      </c>
      <c r="C336" s="16">
        <v>4</v>
      </c>
      <c r="D336" s="14"/>
      <c r="E336" s="14"/>
      <c r="F336" s="16"/>
      <c r="G336" s="68" t="s">
        <v>232</v>
      </c>
      <c r="H336" s="14">
        <f ca="1">ROUNDDOWN((E334/4),0)</f>
        <v>5</v>
      </c>
    </row>
    <row r="337" spans="1:8">
      <c r="A337" s="68" t="s">
        <v>233</v>
      </c>
      <c r="B337" s="100">
        <f ca="1">VLOOKUP(A337,'Listing Inventory'!$B$5:$D$642,3,FALSE)</f>
        <v>17</v>
      </c>
      <c r="C337" s="16">
        <v>1</v>
      </c>
      <c r="D337" s="14"/>
      <c r="E337" s="14"/>
      <c r="F337" s="16"/>
      <c r="G337" s="68" t="s">
        <v>233</v>
      </c>
      <c r="H337" s="14">
        <f ca="1">E335</f>
        <v>49</v>
      </c>
    </row>
    <row r="338" spans="1:8">
      <c r="A338" s="68" t="s">
        <v>234</v>
      </c>
      <c r="B338" s="100">
        <f ca="1">VLOOKUP(A338,'Listing Inventory'!$B$5:$D$642,3,FALSE)</f>
        <v>8</v>
      </c>
      <c r="C338" s="16">
        <v>2</v>
      </c>
      <c r="D338" s="14"/>
      <c r="E338" s="14"/>
      <c r="F338" s="16"/>
      <c r="G338" s="68" t="s">
        <v>234</v>
      </c>
      <c r="H338" s="14">
        <f ca="1">ROUNDDOWN((E335/2),0)</f>
        <v>24</v>
      </c>
    </row>
    <row r="339" spans="1:8">
      <c r="A339" s="68" t="s">
        <v>235</v>
      </c>
      <c r="B339" s="100">
        <f ca="1">VLOOKUP(A339,'Listing Inventory'!$B$5:$D$642,3,FALSE)</f>
        <v>4</v>
      </c>
      <c r="C339" s="16">
        <v>4</v>
      </c>
      <c r="D339" s="14"/>
      <c r="E339" s="14"/>
      <c r="F339" s="16"/>
      <c r="G339" s="68" t="s">
        <v>235</v>
      </c>
      <c r="H339" s="14">
        <f ca="1">ROUNDDOWN((E335/4),0)</f>
        <v>12</v>
      </c>
    </row>
    <row r="340" spans="1:8">
      <c r="A340" s="14"/>
      <c r="B340" s="100"/>
      <c r="C340" s="16"/>
      <c r="D340" s="14"/>
      <c r="E340" s="14"/>
      <c r="F340" s="16"/>
      <c r="G340" s="14"/>
      <c r="H340" s="14"/>
    </row>
    <row r="341" spans="1:8">
      <c r="A341" s="65"/>
      <c r="B341" s="100"/>
      <c r="C341" s="66"/>
      <c r="D341" s="65"/>
      <c r="E341" s="65"/>
      <c r="F341" s="66"/>
      <c r="G341" s="65"/>
      <c r="H341" s="14"/>
    </row>
    <row r="342" spans="1:8">
      <c r="A342" s="14"/>
      <c r="B342" s="100"/>
      <c r="C342" s="16"/>
      <c r="D342" s="14"/>
      <c r="E342" s="14"/>
      <c r="F342" s="16"/>
      <c r="G342" s="14"/>
      <c r="H342" s="14"/>
    </row>
    <row r="343" spans="1:8">
      <c r="A343" s="68" t="s">
        <v>236</v>
      </c>
      <c r="B343" s="100">
        <f ca="1">VLOOKUP(A343,'Listing Inventory'!$B$5:$D$642,3,FALSE)</f>
        <v>1</v>
      </c>
      <c r="C343" s="16">
        <v>1</v>
      </c>
      <c r="D343" s="14" t="s">
        <v>780</v>
      </c>
      <c r="E343" s="14">
        <f ca="1">SUMPRODUCT(B343:B344,C343:C344)</f>
        <v>4</v>
      </c>
      <c r="F343" s="16"/>
      <c r="G343" s="68" t="s">
        <v>236</v>
      </c>
      <c r="H343" s="14">
        <f ca="1">E343</f>
        <v>4</v>
      </c>
    </row>
    <row r="344" spans="1:8">
      <c r="A344" s="68" t="s">
        <v>237</v>
      </c>
      <c r="B344" s="100">
        <f ca="1">VLOOKUP(A344,'Listing Inventory'!$B$5:$D$642,3,FALSE)</f>
        <v>1.5</v>
      </c>
      <c r="C344" s="16">
        <v>2</v>
      </c>
      <c r="D344" s="14" t="s">
        <v>781</v>
      </c>
      <c r="E344" s="14">
        <f ca="1">SUMPRODUCT(B345:B346,C345:C346)</f>
        <v>5</v>
      </c>
      <c r="F344" s="16"/>
      <c r="G344" s="68" t="s">
        <v>237</v>
      </c>
      <c r="H344" s="14">
        <f ca="1">ROUNDDOWN((E343/2),0)</f>
        <v>2</v>
      </c>
    </row>
    <row r="345" spans="1:8">
      <c r="A345" s="68" t="s">
        <v>238</v>
      </c>
      <c r="B345" s="100">
        <f ca="1">VLOOKUP(A345,'Listing Inventory'!$B$5:$D$642,3,FALSE)</f>
        <v>3</v>
      </c>
      <c r="C345" s="16">
        <v>1</v>
      </c>
      <c r="D345" s="14" t="s">
        <v>782</v>
      </c>
      <c r="E345" s="14">
        <f ca="1">SUMPRODUCT(B347:B348,C347:C348)</f>
        <v>10</v>
      </c>
      <c r="F345" s="16"/>
      <c r="G345" s="68" t="s">
        <v>238</v>
      </c>
      <c r="H345" s="14">
        <f ca="1">E344</f>
        <v>5</v>
      </c>
    </row>
    <row r="346" spans="1:8">
      <c r="A346" s="68" t="s">
        <v>466</v>
      </c>
      <c r="B346" s="100">
        <f ca="1">VLOOKUP(A346,'Listing Inventory'!$B$5:$D$642,3,FALSE)</f>
        <v>1</v>
      </c>
      <c r="C346" s="16">
        <v>2</v>
      </c>
      <c r="D346" s="14" t="s">
        <v>783</v>
      </c>
      <c r="E346" s="14">
        <f ca="1">SUMPRODUCT(B349:B350,C349:C350)</f>
        <v>8</v>
      </c>
      <c r="F346" s="16"/>
      <c r="G346" s="68" t="s">
        <v>466</v>
      </c>
      <c r="H346" s="14">
        <f ca="1">ROUNDDOWN((E344/2),0)</f>
        <v>2</v>
      </c>
    </row>
    <row r="347" spans="1:8">
      <c r="A347" s="68" t="s">
        <v>239</v>
      </c>
      <c r="B347" s="100">
        <f ca="1">VLOOKUP(A347,'Listing Inventory'!$B$5:$D$642,3,FALSE)</f>
        <v>10</v>
      </c>
      <c r="C347" s="16">
        <v>1</v>
      </c>
      <c r="D347" s="14"/>
      <c r="E347" s="14"/>
      <c r="F347" s="16"/>
      <c r="G347" s="68" t="s">
        <v>239</v>
      </c>
      <c r="H347" s="14">
        <f ca="1">E345</f>
        <v>10</v>
      </c>
    </row>
    <row r="348" spans="1:8">
      <c r="A348" s="68" t="s">
        <v>240</v>
      </c>
      <c r="B348" s="100">
        <f ca="1">VLOOKUP(A348,'Listing Inventory'!$B$5:$D$642,3,FALSE)</f>
        <v>0</v>
      </c>
      <c r="C348" s="16">
        <v>2</v>
      </c>
      <c r="D348" s="14"/>
      <c r="E348" s="14"/>
      <c r="F348" s="16"/>
      <c r="G348" s="68" t="s">
        <v>240</v>
      </c>
      <c r="H348" s="14">
        <f ca="1">ROUNDDOWN((E345/2),0)</f>
        <v>5</v>
      </c>
    </row>
    <row r="349" spans="1:8">
      <c r="A349" s="68" t="s">
        <v>241</v>
      </c>
      <c r="B349" s="100">
        <f ca="1">VLOOKUP(A349,'Listing Inventory'!$B$5:$D$642,3,FALSE)</f>
        <v>8</v>
      </c>
      <c r="C349" s="16">
        <v>1</v>
      </c>
      <c r="D349" s="14"/>
      <c r="E349" s="14"/>
      <c r="F349" s="16"/>
      <c r="G349" s="68" t="s">
        <v>241</v>
      </c>
      <c r="H349" s="14">
        <f ca="1">E346</f>
        <v>8</v>
      </c>
    </row>
    <row r="350" spans="1:8">
      <c r="A350" s="68" t="s">
        <v>467</v>
      </c>
      <c r="B350" s="100">
        <f ca="1">VLOOKUP(A350,'Listing Inventory'!$B$5:$D$642,3,FALSE)</f>
        <v>0</v>
      </c>
      <c r="C350" s="16">
        <v>2</v>
      </c>
      <c r="D350" s="14"/>
      <c r="E350" s="14"/>
      <c r="F350" s="16"/>
      <c r="G350" s="68" t="s">
        <v>467</v>
      </c>
      <c r="H350" s="14">
        <f ca="1">ROUNDDOWN((E346/2),0)</f>
        <v>4</v>
      </c>
    </row>
    <row r="351" spans="1:8">
      <c r="A351" s="14"/>
      <c r="B351" s="100"/>
      <c r="C351" s="16"/>
      <c r="D351" s="14"/>
      <c r="E351" s="14"/>
      <c r="F351" s="16"/>
      <c r="G351" s="14"/>
      <c r="H351" s="14"/>
    </row>
    <row r="352" spans="1:8">
      <c r="A352" s="65"/>
      <c r="B352" s="100"/>
      <c r="C352" s="66"/>
      <c r="D352" s="65"/>
      <c r="E352" s="65"/>
      <c r="F352" s="66"/>
      <c r="G352" s="65"/>
      <c r="H352" s="14"/>
    </row>
    <row r="353" spans="1:12">
      <c r="A353" s="14"/>
      <c r="B353" s="100"/>
      <c r="C353" s="16"/>
      <c r="D353" s="14"/>
      <c r="E353" s="14"/>
      <c r="F353" s="16"/>
      <c r="G353" s="14"/>
      <c r="H353" s="14"/>
    </row>
    <row r="354" spans="1:12">
      <c r="B354" s="100"/>
    </row>
    <row r="355" spans="1:12">
      <c r="A355" s="13" t="s">
        <v>133</v>
      </c>
      <c r="B355" s="100">
        <f ca="1">VLOOKUP(A355,'Listing Inventory'!$B$5:$D$642,3,FALSE)</f>
        <v>0</v>
      </c>
      <c r="C355" s="6">
        <v>1</v>
      </c>
      <c r="D355" s="13" t="s">
        <v>565</v>
      </c>
      <c r="E355" s="4">
        <f ca="1">SUMPRODUCT(B355:B357,C355:C357)</f>
        <v>10</v>
      </c>
      <c r="G355" s="13" t="s">
        <v>133</v>
      </c>
      <c r="H355" s="4">
        <f ca="1">MIN(E355,E365)</f>
        <v>10</v>
      </c>
      <c r="L355" s="28"/>
    </row>
    <row r="356" spans="1:12">
      <c r="A356" s="13" t="s">
        <v>134</v>
      </c>
      <c r="B356" s="100">
        <f ca="1">VLOOKUP(A356,'Listing Inventory'!$B$5:$D$642,3,FALSE)</f>
        <v>1</v>
      </c>
      <c r="C356" s="6">
        <v>2</v>
      </c>
      <c r="D356" s="13"/>
      <c r="E356" s="4"/>
      <c r="G356" s="13" t="s">
        <v>134</v>
      </c>
      <c r="H356" s="4">
        <f ca="1">ROUNDDOWN((MIN(E355,E365)/2),0)</f>
        <v>5</v>
      </c>
    </row>
    <row r="357" spans="1:12">
      <c r="A357" s="13" t="s">
        <v>699</v>
      </c>
      <c r="B357" s="100">
        <f ca="1">VLOOKUP(A357,'Listing Inventory'!$B$5:$D$642,3,FALSE)</f>
        <v>2</v>
      </c>
      <c r="C357" s="6">
        <v>4</v>
      </c>
      <c r="D357" s="13"/>
      <c r="E357" s="4"/>
      <c r="G357" s="13" t="s">
        <v>699</v>
      </c>
      <c r="H357" s="4">
        <f ca="1">ROUNDDOWN((MIN(E355,E365)/4),0)</f>
        <v>2</v>
      </c>
    </row>
    <row r="358" spans="1:12">
      <c r="A358" s="13" t="s">
        <v>135</v>
      </c>
      <c r="B358" s="100">
        <f ca="1">VLOOKUP(A358,'Listing Inventory'!$B$5:$D$642,3,FALSE)</f>
        <v>0</v>
      </c>
      <c r="C358" s="6">
        <v>2</v>
      </c>
      <c r="D358" s="20" t="s">
        <v>576</v>
      </c>
      <c r="E358" s="4"/>
      <c r="G358" s="13" t="s">
        <v>135</v>
      </c>
      <c r="H358" s="4">
        <f ca="1">ROUNDDOWN((MIN(E359,E364)/2),0)</f>
        <v>30</v>
      </c>
    </row>
    <row r="359" spans="1:12">
      <c r="A359" s="13" t="s">
        <v>136</v>
      </c>
      <c r="B359" s="100">
        <f ca="1">VLOOKUP(A359,'Listing Inventory'!$B$5:$D$642,3,FALSE)</f>
        <v>0</v>
      </c>
      <c r="C359" s="6">
        <v>2</v>
      </c>
      <c r="D359" s="4" t="s">
        <v>570</v>
      </c>
      <c r="E359" s="4">
        <f ca="1">SUMPRODUCT(B358:B369,C358:C369)</f>
        <v>60</v>
      </c>
      <c r="G359" s="13" t="s">
        <v>136</v>
      </c>
      <c r="H359" s="4">
        <f ca="1">ROUNDDOWN((MIN(E359,E365)/2),0)</f>
        <v>30</v>
      </c>
    </row>
    <row r="360" spans="1:12">
      <c r="A360" s="13" t="s">
        <v>137</v>
      </c>
      <c r="B360" s="100">
        <f ca="1">VLOOKUP(A360,'Listing Inventory'!$B$5:$D$642,3,FALSE)</f>
        <v>0</v>
      </c>
      <c r="C360" s="6">
        <v>2</v>
      </c>
      <c r="D360" s="4" t="s">
        <v>569</v>
      </c>
      <c r="E360" s="20">
        <v>100</v>
      </c>
      <c r="F360" s="28" t="s">
        <v>799</v>
      </c>
      <c r="G360" s="13" t="s">
        <v>137</v>
      </c>
      <c r="H360" s="4">
        <f ca="1">ROUNDDOWN((MIN(E359,E366)/2),0)</f>
        <v>30</v>
      </c>
    </row>
    <row r="361" spans="1:12">
      <c r="A361" s="13" t="s">
        <v>138</v>
      </c>
      <c r="B361" s="100">
        <f ca="1">VLOOKUP(A361,'Listing Inventory'!$B$5:$D$642,3,FALSE)</f>
        <v>0</v>
      </c>
      <c r="C361" s="6">
        <v>2</v>
      </c>
      <c r="D361" s="4" t="s">
        <v>567</v>
      </c>
      <c r="E361" s="20">
        <f ca="1">SUMPRODUCT(B370:B387,C370:C387)</f>
        <v>792</v>
      </c>
      <c r="F361" s="28" t="s">
        <v>799</v>
      </c>
      <c r="G361" s="13" t="s">
        <v>138</v>
      </c>
      <c r="H361" s="4">
        <f ca="1">ROUNDDOWN((MIN(E359,E367)/2),0)</f>
        <v>28</v>
      </c>
    </row>
    <row r="362" spans="1:12">
      <c r="A362" s="13" t="s">
        <v>139</v>
      </c>
      <c r="B362" s="100">
        <f ca="1">VLOOKUP(A362,'Listing Inventory'!$B$5:$D$642,3,FALSE)</f>
        <v>0</v>
      </c>
      <c r="C362" s="6">
        <v>2</v>
      </c>
      <c r="D362" s="4"/>
      <c r="E362" s="4"/>
      <c r="G362" s="13" t="s">
        <v>139</v>
      </c>
      <c r="H362" s="4">
        <f ca="1">ROUNDDOWN((MIN(E359,E368)/2),0)</f>
        <v>30</v>
      </c>
    </row>
    <row r="363" spans="1:12">
      <c r="A363" s="13" t="s">
        <v>140</v>
      </c>
      <c r="B363" s="100">
        <f ca="1">VLOOKUP(A363,'Listing Inventory'!$B$5:$D$642,3,FALSE)</f>
        <v>0</v>
      </c>
      <c r="C363" s="6">
        <v>2</v>
      </c>
      <c r="D363" s="20" t="s">
        <v>577</v>
      </c>
      <c r="E363" s="4"/>
      <c r="G363" s="13" t="s">
        <v>140</v>
      </c>
      <c r="H363" s="4">
        <f ca="1">ROUNDDOWN((MIN(E359,E369)/2),0)</f>
        <v>30</v>
      </c>
    </row>
    <row r="364" spans="1:12">
      <c r="A364" s="13" t="s">
        <v>141</v>
      </c>
      <c r="B364" s="100">
        <f ca="1">VLOOKUP(A364,'Listing Inventory'!$B$5:$D$642,3,FALSE)</f>
        <v>0</v>
      </c>
      <c r="C364" s="6">
        <v>4</v>
      </c>
      <c r="D364" s="4" t="s">
        <v>571</v>
      </c>
      <c r="E364" s="4">
        <f ca="1">SUM((B358*2),(B364*4),(B370*2),(B376*4),(B382*6),(B388),(B394*4))</f>
        <v>258</v>
      </c>
      <c r="G364" s="13" t="s">
        <v>141</v>
      </c>
      <c r="H364" s="4">
        <f ca="1">ROUNDDOWN((MIN(E359,E364)/4),0)</f>
        <v>15</v>
      </c>
    </row>
    <row r="365" spans="1:12">
      <c r="A365" s="13" t="s">
        <v>142</v>
      </c>
      <c r="B365" s="100">
        <f ca="1">VLOOKUP(A365,'Listing Inventory'!$B$5:$D$642,3,FALSE)</f>
        <v>0</v>
      </c>
      <c r="C365" s="6">
        <v>4</v>
      </c>
      <c r="D365" s="4" t="s">
        <v>568</v>
      </c>
      <c r="E365" s="4">
        <f t="shared" ref="E365:E368" ca="1" si="0">SUM((B359*C359)+(B365*C365)+(B371*C371)+(B377*C377)+(B383*6)+(B389*2)+(B395*4))</f>
        <v>144</v>
      </c>
      <c r="G365" s="13" t="s">
        <v>142</v>
      </c>
      <c r="H365" s="4">
        <f ca="1">ROUNDDOWN((MIN(E359,E365)/4),0)</f>
        <v>15</v>
      </c>
    </row>
    <row r="366" spans="1:12">
      <c r="A366" s="13" t="s">
        <v>143</v>
      </c>
      <c r="B366" s="100">
        <f ca="1">VLOOKUP(A366,'Listing Inventory'!$B$5:$D$642,3,FALSE)</f>
        <v>2</v>
      </c>
      <c r="C366" s="6">
        <v>4</v>
      </c>
      <c r="D366" s="4" t="s">
        <v>575</v>
      </c>
      <c r="E366" s="4">
        <f t="shared" ca="1" si="0"/>
        <v>112</v>
      </c>
      <c r="G366" s="13" t="s">
        <v>143</v>
      </c>
      <c r="H366" s="4">
        <f ca="1">ROUNDDOWN((MIN(E359,E366)/4),0)</f>
        <v>15</v>
      </c>
    </row>
    <row r="367" spans="1:12">
      <c r="A367" s="13" t="s">
        <v>144</v>
      </c>
      <c r="B367" s="100">
        <f ca="1">VLOOKUP(A367,'Listing Inventory'!$B$5:$D$642,3,FALSE)</f>
        <v>0</v>
      </c>
      <c r="C367" s="6">
        <v>4</v>
      </c>
      <c r="D367" s="4" t="s">
        <v>573</v>
      </c>
      <c r="E367" s="4">
        <f t="shared" ca="1" si="0"/>
        <v>56</v>
      </c>
      <c r="G367" s="13" t="s">
        <v>144</v>
      </c>
      <c r="H367" s="4">
        <f ca="1">ROUNDDOWN((MIN(E359,E367)/4),0)</f>
        <v>14</v>
      </c>
    </row>
    <row r="368" spans="1:12">
      <c r="A368" s="13" t="s">
        <v>145</v>
      </c>
      <c r="B368" s="100">
        <f ca="1">VLOOKUP(A368,'Listing Inventory'!$B$5:$D$642,3,FALSE)</f>
        <v>2</v>
      </c>
      <c r="C368" s="6">
        <v>4</v>
      </c>
      <c r="D368" s="4" t="s">
        <v>574</v>
      </c>
      <c r="E368" s="4">
        <f t="shared" ca="1" si="0"/>
        <v>138</v>
      </c>
      <c r="G368" s="13" t="s">
        <v>145</v>
      </c>
      <c r="H368" s="4">
        <f ca="1">ROUNDDOWN((MIN(E359,E368)/4),0)</f>
        <v>15</v>
      </c>
      <c r="J368" s="51"/>
    </row>
    <row r="369" spans="1:8">
      <c r="A369" s="13" t="s">
        <v>146</v>
      </c>
      <c r="B369" s="100">
        <f ca="1">VLOOKUP(A369,'Listing Inventory'!$B$5:$D$642,3,FALSE)</f>
        <v>11</v>
      </c>
      <c r="C369" s="6">
        <v>4</v>
      </c>
      <c r="D369" s="4" t="s">
        <v>572</v>
      </c>
      <c r="E369" s="4">
        <f ca="1">SUM((B363*2),(B369*4),(B375*2),(B381*4),(B387*6),(B393*2),(B399*4))</f>
        <v>154</v>
      </c>
      <c r="G369" s="13" t="s">
        <v>146</v>
      </c>
      <c r="H369" s="4">
        <f ca="1">ROUNDDOWN((MIN(E359,E369)/4),0)</f>
        <v>15</v>
      </c>
    </row>
    <row r="370" spans="1:8">
      <c r="A370" s="13" t="s">
        <v>390</v>
      </c>
      <c r="B370" s="100">
        <f ca="1">VLOOKUP(A370,'Listing Inventory'!$B$5:$D$642,3,FALSE)</f>
        <v>60</v>
      </c>
      <c r="C370" s="6">
        <v>2</v>
      </c>
      <c r="D370" s="4"/>
      <c r="E370" s="4"/>
      <c r="G370" s="13" t="s">
        <v>390</v>
      </c>
      <c r="H370" s="4">
        <f ca="1">ROUNDDOWN((MIN(E361,E364)/2),0)</f>
        <v>129</v>
      </c>
    </row>
    <row r="371" spans="1:8">
      <c r="A371" s="13" t="s">
        <v>391</v>
      </c>
      <c r="B371" s="100">
        <f ca="1">VLOOKUP(A371,'Listing Inventory'!$B$5:$D$642,3,FALSE)</f>
        <v>20</v>
      </c>
      <c r="C371" s="6">
        <v>2</v>
      </c>
      <c r="D371" s="4" t="s">
        <v>796</v>
      </c>
      <c r="E371" s="4">
        <v>0</v>
      </c>
      <c r="G371" s="13" t="s">
        <v>391</v>
      </c>
      <c r="H371" s="4">
        <f ca="1">ROUNDDOWN((MIN(E361,E365)/2),0)</f>
        <v>72</v>
      </c>
    </row>
    <row r="372" spans="1:8">
      <c r="A372" s="13" t="s">
        <v>392</v>
      </c>
      <c r="B372" s="100">
        <f ca="1">VLOOKUP(A372,'Listing Inventory'!$B$5:$D$642,3,FALSE)</f>
        <v>0</v>
      </c>
      <c r="C372" s="6">
        <v>2</v>
      </c>
      <c r="D372" s="4" t="s">
        <v>797</v>
      </c>
      <c r="E372" s="4">
        <v>120</v>
      </c>
      <c r="G372" s="13" t="s">
        <v>392</v>
      </c>
      <c r="H372" s="4">
        <f ca="1">ROUNDDOWN((MIN(E361,E366)/2),0)</f>
        <v>56</v>
      </c>
    </row>
    <row r="373" spans="1:8">
      <c r="A373" s="13" t="s">
        <v>716</v>
      </c>
      <c r="B373" s="100">
        <f ca="1">VLOOKUP(A373,'Listing Inventory'!$B$5:$D$642,3,FALSE)</f>
        <v>0</v>
      </c>
      <c r="C373" s="6">
        <v>2</v>
      </c>
      <c r="D373" s="4" t="s">
        <v>798</v>
      </c>
      <c r="E373" s="4"/>
      <c r="G373" s="13" t="s">
        <v>716</v>
      </c>
      <c r="H373" s="4">
        <f ca="1">ROUNDDOWN((MIN(E361,E367)/2),0)</f>
        <v>28</v>
      </c>
    </row>
    <row r="374" spans="1:8">
      <c r="A374" s="13" t="s">
        <v>393</v>
      </c>
      <c r="B374" s="100">
        <f ca="1">VLOOKUP(A374,'Listing Inventory'!$B$5:$D$642,3,FALSE)</f>
        <v>10</v>
      </c>
      <c r="C374" s="6">
        <v>2</v>
      </c>
      <c r="D374" s="4"/>
      <c r="E374" s="4"/>
      <c r="G374" s="13" t="s">
        <v>393</v>
      </c>
      <c r="H374" s="4">
        <f ca="1">ROUNDDOWN((MIN(E361,E368)/2),0)</f>
        <v>69</v>
      </c>
    </row>
    <row r="375" spans="1:8">
      <c r="A375" s="13" t="s">
        <v>394</v>
      </c>
      <c r="B375" s="100">
        <f ca="1">VLOOKUP(A375,'Listing Inventory'!$B$5:$D$642,3,FALSE)</f>
        <v>5</v>
      </c>
      <c r="C375" s="6">
        <v>2</v>
      </c>
      <c r="D375" s="4" t="s">
        <v>581</v>
      </c>
      <c r="E375" s="4">
        <f ca="1">SUMPRODUCT(B355:B357,C355:C357)</f>
        <v>10</v>
      </c>
      <c r="G375" s="13" t="s">
        <v>394</v>
      </c>
      <c r="H375" s="4">
        <f ca="1">ROUNDDOWN((MIN(E361,E369)/2),0)</f>
        <v>77</v>
      </c>
    </row>
    <row r="376" spans="1:8">
      <c r="A376" s="13" t="s">
        <v>147</v>
      </c>
      <c r="B376" s="100">
        <f ca="1">VLOOKUP(A376,'Listing Inventory'!$B$5:$D$642,3,FALSE)</f>
        <v>33</v>
      </c>
      <c r="C376" s="6">
        <v>4</v>
      </c>
      <c r="D376" s="4" t="s">
        <v>582</v>
      </c>
      <c r="E376" s="4">
        <f ca="1">SUM(B358*C358+B364*C364)</f>
        <v>0</v>
      </c>
      <c r="G376" s="13" t="s">
        <v>147</v>
      </c>
      <c r="H376" s="4">
        <f ca="1">ROUNDDOWN((MIN(E361,E364)/4),0)</f>
        <v>64</v>
      </c>
    </row>
    <row r="377" spans="1:8">
      <c r="A377" s="13" t="s">
        <v>148</v>
      </c>
      <c r="B377" s="100">
        <f ca="1">VLOOKUP(A377,'Listing Inventory'!$B$5:$D$642,3,FALSE)</f>
        <v>26</v>
      </c>
      <c r="C377" s="6">
        <v>4</v>
      </c>
      <c r="D377" s="4" t="s">
        <v>583</v>
      </c>
      <c r="E377" s="4">
        <f ca="1">B359*C359+B365*C365</f>
        <v>0</v>
      </c>
      <c r="G377" s="13" t="s">
        <v>148</v>
      </c>
      <c r="H377" s="4">
        <f ca="1">ROUNDDOWN((MIN(E361,E365)/4),0)</f>
        <v>36</v>
      </c>
    </row>
    <row r="378" spans="1:8">
      <c r="A378" s="13" t="s">
        <v>149</v>
      </c>
      <c r="B378" s="100">
        <f ca="1">VLOOKUP(A378,'Listing Inventory'!$B$5:$D$642,3,FALSE)</f>
        <v>26</v>
      </c>
      <c r="C378" s="6">
        <v>4</v>
      </c>
      <c r="D378" s="4" t="s">
        <v>584</v>
      </c>
      <c r="E378" s="4">
        <f ca="1">B360*C360+B366*C366</f>
        <v>8</v>
      </c>
      <c r="G378" s="13" t="s">
        <v>149</v>
      </c>
      <c r="H378" s="4">
        <f ca="1">ROUNDDOWN((MIN(E361,E366)/4),0)</f>
        <v>28</v>
      </c>
    </row>
    <row r="379" spans="1:8">
      <c r="A379" s="13" t="s">
        <v>150</v>
      </c>
      <c r="B379" s="100">
        <f ca="1">VLOOKUP(A379,'Listing Inventory'!$B$5:$D$642,3,FALSE)</f>
        <v>14</v>
      </c>
      <c r="C379" s="6">
        <v>4</v>
      </c>
      <c r="D379" s="4" t="s">
        <v>585</v>
      </c>
      <c r="E379" s="4">
        <f ca="1">B361*C361+B367*C367</f>
        <v>0</v>
      </c>
      <c r="G379" s="13" t="s">
        <v>150</v>
      </c>
      <c r="H379" s="4">
        <f ca="1">ROUNDDOWN((MIN(E361,E367)/4),0)</f>
        <v>14</v>
      </c>
    </row>
    <row r="380" spans="1:8">
      <c r="A380" s="13" t="s">
        <v>151</v>
      </c>
      <c r="B380" s="100">
        <f ca="1">VLOOKUP(A380,'Listing Inventory'!$B$5:$D$642,3,FALSE)</f>
        <v>27.5</v>
      </c>
      <c r="C380" s="6">
        <v>4</v>
      </c>
      <c r="D380" s="4" t="s">
        <v>586</v>
      </c>
      <c r="E380" s="4">
        <f ca="1">B361*C361+B368*C368</f>
        <v>8</v>
      </c>
      <c r="G380" s="13" t="s">
        <v>151</v>
      </c>
      <c r="H380" s="4">
        <f ca="1">ROUNDDOWN((MIN(E361,E368)/4),0)</f>
        <v>34</v>
      </c>
    </row>
    <row r="381" spans="1:8">
      <c r="A381" s="13" t="s">
        <v>152</v>
      </c>
      <c r="B381" s="100">
        <f ca="1">VLOOKUP(A381,'Listing Inventory'!$B$5:$D$642,3,FALSE)</f>
        <v>15</v>
      </c>
      <c r="C381" s="6">
        <v>4</v>
      </c>
      <c r="D381" s="4" t="s">
        <v>587</v>
      </c>
      <c r="E381" s="4">
        <f ca="1">B363*C363+B369*C369</f>
        <v>44</v>
      </c>
      <c r="G381" s="13" t="s">
        <v>152</v>
      </c>
      <c r="H381" s="4">
        <f ca="1">ROUNDDOWN((MIN(E361,E369)/4),0)</f>
        <v>38</v>
      </c>
    </row>
    <row r="382" spans="1:8">
      <c r="A382" s="13" t="s">
        <v>153</v>
      </c>
      <c r="B382" s="100">
        <f ca="1">VLOOKUP(A382,'Listing Inventory'!$B$5:$D$642,3,FALSE)</f>
        <v>0</v>
      </c>
      <c r="C382" s="6">
        <v>6</v>
      </c>
      <c r="D382" s="4" t="s">
        <v>588</v>
      </c>
      <c r="E382" s="4">
        <f t="shared" ref="E382:E387" ca="1" si="1">B370*C370+B376*C376+B382*C382</f>
        <v>252</v>
      </c>
      <c r="G382" s="13" t="s">
        <v>153</v>
      </c>
      <c r="H382" s="4">
        <f ca="1">ROUNDDOWN((MIN(E361,E364)/6),0)</f>
        <v>43</v>
      </c>
    </row>
    <row r="383" spans="1:8">
      <c r="A383" s="13" t="s">
        <v>154</v>
      </c>
      <c r="B383" s="100">
        <f ca="1">VLOOKUP(A383,'Listing Inventory'!$B$5:$D$642,3,FALSE)</f>
        <v>0</v>
      </c>
      <c r="C383" s="6">
        <v>6</v>
      </c>
      <c r="D383" s="4" t="s">
        <v>589</v>
      </c>
      <c r="E383" s="4">
        <f t="shared" ca="1" si="1"/>
        <v>144</v>
      </c>
      <c r="G383" s="13" t="s">
        <v>154</v>
      </c>
      <c r="H383" s="4">
        <f ca="1">ROUNDDOWN((MIN(E361,E365)/6),0)</f>
        <v>24</v>
      </c>
    </row>
    <row r="384" spans="1:8">
      <c r="A384" s="13" t="s">
        <v>155</v>
      </c>
      <c r="B384" s="100">
        <f ca="1">VLOOKUP(A384,'Listing Inventory'!$B$5:$D$642,3,FALSE)</f>
        <v>0</v>
      </c>
      <c r="C384" s="6">
        <v>6</v>
      </c>
      <c r="D384" s="4" t="s">
        <v>590</v>
      </c>
      <c r="E384" s="4">
        <f t="shared" ca="1" si="1"/>
        <v>104</v>
      </c>
      <c r="G384" s="13" t="s">
        <v>155</v>
      </c>
      <c r="H384" s="4">
        <f ca="1">ROUNDDOWN((MIN(E361,E366)/6),0)</f>
        <v>18</v>
      </c>
    </row>
    <row r="385" spans="1:8">
      <c r="A385" s="13" t="s">
        <v>156</v>
      </c>
      <c r="B385" s="100">
        <f ca="1">VLOOKUP(A385,'Listing Inventory'!$B$5:$D$642,3,FALSE)</f>
        <v>0</v>
      </c>
      <c r="C385" s="6">
        <v>6</v>
      </c>
      <c r="D385" s="4" t="s">
        <v>591</v>
      </c>
      <c r="E385" s="4">
        <f t="shared" ca="1" si="1"/>
        <v>56</v>
      </c>
      <c r="G385" s="13" t="s">
        <v>156</v>
      </c>
      <c r="H385" s="4">
        <f ca="1">ROUNDDOWN((MIN(E361,E367)/6),0)</f>
        <v>9</v>
      </c>
    </row>
    <row r="386" spans="1:8">
      <c r="A386" s="13" t="s">
        <v>157</v>
      </c>
      <c r="B386" s="100">
        <f ca="1">VLOOKUP(A386,'Listing Inventory'!$B$5:$D$642,3,FALSE)</f>
        <v>0</v>
      </c>
      <c r="C386" s="6">
        <v>6</v>
      </c>
      <c r="D386" s="4" t="s">
        <v>592</v>
      </c>
      <c r="E386" s="4">
        <f t="shared" ca="1" si="1"/>
        <v>130</v>
      </c>
      <c r="G386" s="13" t="s">
        <v>157</v>
      </c>
      <c r="H386" s="4">
        <f ca="1">ROUNDDOWN((MIN(E361,E368)/6),0)</f>
        <v>23</v>
      </c>
    </row>
    <row r="387" spans="1:8">
      <c r="A387" s="13" t="s">
        <v>158</v>
      </c>
      <c r="B387" s="100">
        <f ca="1">VLOOKUP(A387,'Listing Inventory'!$B$5:$D$642,3,FALSE)</f>
        <v>6</v>
      </c>
      <c r="C387" s="6">
        <v>6</v>
      </c>
      <c r="D387" s="4" t="s">
        <v>593</v>
      </c>
      <c r="E387" s="4">
        <f t="shared" ca="1" si="1"/>
        <v>106</v>
      </c>
      <c r="G387" s="13" t="s">
        <v>158</v>
      </c>
      <c r="H387" s="4">
        <f ca="1">ROUNDDOWN((MIN(E361,E369)/6),0)</f>
        <v>25</v>
      </c>
    </row>
    <row r="388" spans="1:8">
      <c r="A388" s="13" t="s">
        <v>395</v>
      </c>
      <c r="B388" s="100">
        <f ca="1">VLOOKUP(A388,'Listing Inventory'!$B$5:$D$642,3,FALSE)</f>
        <v>6</v>
      </c>
      <c r="C388" s="6">
        <v>2</v>
      </c>
      <c r="D388" s="4" t="s">
        <v>594</v>
      </c>
      <c r="E388" s="4">
        <f t="shared" ref="E388:E393" ca="1" si="2">B388*C388+B394*C394</f>
        <v>12</v>
      </c>
      <c r="G388" s="13" t="s">
        <v>395</v>
      </c>
      <c r="H388" s="4">
        <f ca="1">ROUNDDOWN((MIN(E360,E364)/2),0)</f>
        <v>50</v>
      </c>
    </row>
    <row r="389" spans="1:8">
      <c r="A389" s="13" t="s">
        <v>396</v>
      </c>
      <c r="B389" s="100">
        <f ca="1">VLOOKUP(A389,'Listing Inventory'!$B$5:$D$642,3,FALSE)</f>
        <v>0</v>
      </c>
      <c r="C389" s="6">
        <v>2</v>
      </c>
      <c r="D389" s="4" t="s">
        <v>595</v>
      </c>
      <c r="E389" s="4">
        <f t="shared" ca="1" si="2"/>
        <v>0</v>
      </c>
      <c r="G389" s="13" t="s">
        <v>396</v>
      </c>
      <c r="H389" s="4">
        <f ca="1">ROUNDDOWN((MIN(E360,E365)/2),0)</f>
        <v>50</v>
      </c>
    </row>
    <row r="390" spans="1:8">
      <c r="A390" s="13" t="s">
        <v>397</v>
      </c>
      <c r="B390" s="100">
        <f ca="1">VLOOKUP(A390,'Listing Inventory'!$B$5:$D$642,3,FALSE)</f>
        <v>0</v>
      </c>
      <c r="C390" s="6">
        <v>2</v>
      </c>
      <c r="D390" s="4" t="s">
        <v>596</v>
      </c>
      <c r="E390" s="4">
        <f t="shared" ca="1" si="2"/>
        <v>0</v>
      </c>
      <c r="G390" s="13" t="s">
        <v>397</v>
      </c>
      <c r="H390" s="4">
        <f ca="1">ROUNDDOWN((MIN(E360,E366)/2),0)</f>
        <v>50</v>
      </c>
    </row>
    <row r="391" spans="1:8">
      <c r="A391" s="13" t="s">
        <v>398</v>
      </c>
      <c r="B391" s="100">
        <f ca="1">VLOOKUP(A391,'Listing Inventory'!$B$5:$D$642,3,FALSE)</f>
        <v>0</v>
      </c>
      <c r="C391" s="6">
        <v>2</v>
      </c>
      <c r="D391" s="4" t="s">
        <v>597</v>
      </c>
      <c r="E391" s="4">
        <f t="shared" ca="1" si="2"/>
        <v>0</v>
      </c>
      <c r="G391" s="13" t="s">
        <v>398</v>
      </c>
      <c r="H391" s="4">
        <f ca="1">ROUNDDOWN((MIN(E360,E367)/2),0)</f>
        <v>28</v>
      </c>
    </row>
    <row r="392" spans="1:8">
      <c r="A392" s="13" t="s">
        <v>399</v>
      </c>
      <c r="B392" s="100">
        <f ca="1">VLOOKUP(A392,'Listing Inventory'!$B$5:$D$642,3,FALSE)</f>
        <v>0</v>
      </c>
      <c r="C392" s="6">
        <v>2</v>
      </c>
      <c r="D392" s="4" t="s">
        <v>598</v>
      </c>
      <c r="E392" s="4">
        <f t="shared" ca="1" si="2"/>
        <v>0</v>
      </c>
      <c r="G392" s="13" t="s">
        <v>399</v>
      </c>
      <c r="H392" s="4">
        <f ca="1">ROUNDDOWN((MIN(E360,E368)/2),0)</f>
        <v>50</v>
      </c>
    </row>
    <row r="393" spans="1:8">
      <c r="A393" s="13" t="s">
        <v>717</v>
      </c>
      <c r="B393" s="100">
        <f ca="1">VLOOKUP(A393,'Listing Inventory'!$B$5:$D$642,3,FALSE)</f>
        <v>0</v>
      </c>
      <c r="C393" s="6">
        <v>2</v>
      </c>
      <c r="D393" s="4" t="s">
        <v>657</v>
      </c>
      <c r="E393" s="4">
        <f t="shared" ca="1" si="2"/>
        <v>4</v>
      </c>
      <c r="G393" s="13" t="s">
        <v>717</v>
      </c>
      <c r="H393" s="4">
        <f ca="1">ROUNDDOWN((MIN(E360,E369)/2),0)</f>
        <v>50</v>
      </c>
    </row>
    <row r="394" spans="1:8">
      <c r="A394" s="13" t="s">
        <v>400</v>
      </c>
      <c r="B394" s="100">
        <f ca="1">VLOOKUP(A394,'Listing Inventory'!$B$5:$D$642,3,FALSE)</f>
        <v>0</v>
      </c>
      <c r="C394" s="6">
        <v>4</v>
      </c>
      <c r="D394" s="4"/>
      <c r="E394" s="4"/>
      <c r="G394" s="13" t="s">
        <v>400</v>
      </c>
      <c r="H394" s="4">
        <f ca="1">ROUNDDOWN((MIN(E360,E364)/4),0)</f>
        <v>25</v>
      </c>
    </row>
    <row r="395" spans="1:8">
      <c r="A395" s="13" t="s">
        <v>401</v>
      </c>
      <c r="B395" s="100">
        <f ca="1">VLOOKUP(A395,'Listing Inventory'!$B$5:$D$642,3,FALSE)</f>
        <v>0</v>
      </c>
      <c r="C395" s="6">
        <v>4</v>
      </c>
      <c r="D395" s="4"/>
      <c r="E395" s="4"/>
      <c r="G395" s="13" t="s">
        <v>401</v>
      </c>
      <c r="H395" s="4">
        <f ca="1">ROUNDDOWN((MIN(E360,E365)/4),0)</f>
        <v>25</v>
      </c>
    </row>
    <row r="396" spans="1:8">
      <c r="A396" s="13" t="s">
        <v>402</v>
      </c>
      <c r="B396" s="100">
        <f ca="1">VLOOKUP(A396,'Listing Inventory'!$B$5:$D$642,3,FALSE)</f>
        <v>0</v>
      </c>
      <c r="C396" s="6">
        <v>4</v>
      </c>
      <c r="D396" s="4"/>
      <c r="E396" s="4"/>
      <c r="G396" s="13" t="s">
        <v>402</v>
      </c>
      <c r="H396" s="4">
        <f ca="1">ROUNDDOWN((MIN(E360,E366)/4),0)</f>
        <v>25</v>
      </c>
    </row>
    <row r="397" spans="1:8">
      <c r="A397" s="13" t="s">
        <v>403</v>
      </c>
      <c r="B397" s="100">
        <f ca="1">VLOOKUP(A397,'Listing Inventory'!$B$5:$D$642,3,FALSE)</f>
        <v>0</v>
      </c>
      <c r="C397" s="6">
        <v>4</v>
      </c>
      <c r="D397" s="4"/>
      <c r="E397" s="4"/>
      <c r="G397" s="13" t="s">
        <v>403</v>
      </c>
      <c r="H397" s="4">
        <f ca="1">ROUNDDOWN((MIN(E360,E367)/4),0)</f>
        <v>14</v>
      </c>
    </row>
    <row r="398" spans="1:8">
      <c r="A398" s="13" t="s">
        <v>404</v>
      </c>
      <c r="B398" s="100">
        <f ca="1">VLOOKUP(A398,'Listing Inventory'!$B$5:$D$642,3,FALSE)</f>
        <v>0</v>
      </c>
      <c r="C398" s="6">
        <v>4</v>
      </c>
      <c r="D398" s="4"/>
      <c r="E398" s="4"/>
      <c r="G398" s="13" t="s">
        <v>404</v>
      </c>
      <c r="H398" s="4">
        <f ca="1">ROUNDDOWN((MIN(E368,E360)/4),0)</f>
        <v>25</v>
      </c>
    </row>
    <row r="399" spans="1:8">
      <c r="A399" s="13" t="s">
        <v>405</v>
      </c>
      <c r="B399" s="100">
        <f ca="1">VLOOKUP(A399,'Listing Inventory'!$B$5:$D$642,3,FALSE)</f>
        <v>1</v>
      </c>
      <c r="C399" s="6">
        <v>4</v>
      </c>
      <c r="D399" s="4"/>
      <c r="E399" s="4"/>
      <c r="G399" s="13" t="s">
        <v>405</v>
      </c>
      <c r="H399" s="4">
        <f ca="1">ROUNDDOWN((MIN(E369,E360)/4),0)</f>
        <v>25</v>
      </c>
    </row>
    <row r="400" spans="1:8">
      <c r="B400" s="100"/>
    </row>
    <row r="401" spans="1:8">
      <c r="A401" s="65"/>
      <c r="B401" s="100"/>
      <c r="C401" s="66"/>
      <c r="D401" s="65"/>
      <c r="E401" s="65"/>
      <c r="F401" s="66"/>
      <c r="G401" s="65"/>
    </row>
    <row r="402" spans="1:8">
      <c r="B402" s="100"/>
    </row>
    <row r="403" spans="1:8">
      <c r="A403" s="13"/>
      <c r="B403" s="100"/>
      <c r="D403" s="13" t="s">
        <v>565</v>
      </c>
      <c r="E403" s="4">
        <f ca="1">SUMPRODUCT(B404:B405,C404:C405)</f>
        <v>2</v>
      </c>
    </row>
    <row r="404" spans="1:8">
      <c r="A404" s="13" t="s">
        <v>127</v>
      </c>
      <c r="B404" s="100">
        <f ca="1">VLOOKUP(A404,'Listing Inventory'!$B$5:$D$642,3,FALSE)</f>
        <v>0</v>
      </c>
      <c r="C404" s="6">
        <v>1</v>
      </c>
      <c r="D404" s="13" t="s">
        <v>566</v>
      </c>
      <c r="E404" s="4">
        <f ca="1">SUMPRODUCT(B404:B405,C404:C405)</f>
        <v>2</v>
      </c>
      <c r="G404" s="13" t="s">
        <v>127</v>
      </c>
      <c r="H404" s="4">
        <f ca="1">MIN(E403,E404)</f>
        <v>2</v>
      </c>
    </row>
    <row r="405" spans="1:8">
      <c r="A405" s="13" t="s">
        <v>128</v>
      </c>
      <c r="B405" s="100">
        <f ca="1">VLOOKUP(A405,'Listing Inventory'!$B$5:$D$642,3,FALSE)</f>
        <v>1</v>
      </c>
      <c r="C405" s="6">
        <v>2</v>
      </c>
      <c r="D405" s="20" t="s">
        <v>576</v>
      </c>
      <c r="E405" s="4"/>
      <c r="G405" s="13" t="s">
        <v>128</v>
      </c>
      <c r="H405" s="4">
        <f ca="1">ROUNDDOWN((MIN(E403,E404)/2),0)</f>
        <v>1</v>
      </c>
    </row>
    <row r="406" spans="1:8">
      <c r="A406" s="13" t="s">
        <v>129</v>
      </c>
      <c r="B406" s="100">
        <f ca="1">VLOOKUP(A406,'Listing Inventory'!$B$5:$D$642,3,FALSE)</f>
        <v>0</v>
      </c>
      <c r="C406" s="6">
        <v>2</v>
      </c>
      <c r="D406" s="4" t="s">
        <v>570</v>
      </c>
      <c r="E406" s="4">
        <f ca="1">SUMPRODUCT(B406:B415,C406:C415)</f>
        <v>0</v>
      </c>
      <c r="G406" s="13" t="s">
        <v>129</v>
      </c>
      <c r="H406" s="4">
        <f ca="1">ROUNDDOWN((MIN(E406,E411)/2),0)</f>
        <v>0</v>
      </c>
    </row>
    <row r="407" spans="1:8">
      <c r="A407" s="13" t="s">
        <v>365</v>
      </c>
      <c r="B407" s="100">
        <f ca="1">VLOOKUP(A407,'Listing Inventory'!$B$5:$D$642,3,FALSE)</f>
        <v>0</v>
      </c>
      <c r="C407" s="6">
        <v>2</v>
      </c>
      <c r="D407" s="4" t="s">
        <v>569</v>
      </c>
      <c r="E407" s="4">
        <f ca="1">SUMPRODUCT(B430:B434,C430:C434)</f>
        <v>0</v>
      </c>
      <c r="G407" s="13" t="s">
        <v>365</v>
      </c>
      <c r="H407" s="4">
        <f ca="1">ROUNDDOWN((MIN(E406,E412)/2),0)</f>
        <v>0</v>
      </c>
    </row>
    <row r="408" spans="1:8">
      <c r="A408" s="13" t="s">
        <v>130</v>
      </c>
      <c r="B408" s="100">
        <f ca="1">VLOOKUP(A408,'Listing Inventory'!$B$5:$D$642,3,FALSE)</f>
        <v>0</v>
      </c>
      <c r="C408" s="6">
        <v>2</v>
      </c>
      <c r="D408" s="4" t="s">
        <v>567</v>
      </c>
      <c r="E408" s="4">
        <f ca="1">SUMPRODUCT(B416:B429,C416:C429)</f>
        <v>67</v>
      </c>
      <c r="G408" s="13" t="s">
        <v>130</v>
      </c>
      <c r="H408" s="4">
        <f ca="1">ROUNDDOWN((MIN(E406,E413)/2),0)</f>
        <v>0</v>
      </c>
    </row>
    <row r="409" spans="1:8">
      <c r="A409" s="13" t="s">
        <v>131</v>
      </c>
      <c r="B409" s="100">
        <f ca="1">VLOOKUP(A409,'Listing Inventory'!$B$5:$D$642,3,FALSE)</f>
        <v>0</v>
      </c>
      <c r="C409" s="6">
        <v>2</v>
      </c>
      <c r="D409" s="4"/>
      <c r="E409" s="4"/>
      <c r="G409" s="13" t="s">
        <v>131</v>
      </c>
      <c r="H409" s="4">
        <f ca="1">ROUNDDOWN((MIN(E406,E414)/2),0)</f>
        <v>0</v>
      </c>
    </row>
    <row r="410" spans="1:8">
      <c r="A410" s="13" t="s">
        <v>132</v>
      </c>
      <c r="B410" s="100">
        <f ca="1">VLOOKUP(A410,'Listing Inventory'!$B$5:$D$642,3,FALSE)</f>
        <v>0</v>
      </c>
      <c r="C410" s="6">
        <v>2</v>
      </c>
      <c r="D410" s="20" t="s">
        <v>577</v>
      </c>
      <c r="E410" s="4"/>
      <c r="G410" s="13" t="s">
        <v>132</v>
      </c>
      <c r="H410" s="4">
        <f ca="1">ROUNDDOWN((MIN(E406,E415)/2),0)</f>
        <v>0</v>
      </c>
    </row>
    <row r="411" spans="1:8">
      <c r="A411" s="13" t="s">
        <v>366</v>
      </c>
      <c r="B411" s="100">
        <f ca="1">VLOOKUP(A411,'Listing Inventory'!$B$5:$D$642,3,FALSE)</f>
        <v>0</v>
      </c>
      <c r="C411" s="6">
        <v>4</v>
      </c>
      <c r="D411" s="4" t="s">
        <v>571</v>
      </c>
      <c r="E411" s="4">
        <f ca="1">SUM((B406*C406),(B411*C411),(B416),(B417*C417),(B418*C418),(B430*C430))</f>
        <v>8</v>
      </c>
      <c r="G411" s="13" t="s">
        <v>366</v>
      </c>
      <c r="H411" s="4">
        <f ca="1">ROUNDDOWN((MIN(E406,E411)/4),0)</f>
        <v>0</v>
      </c>
    </row>
    <row r="412" spans="1:8">
      <c r="A412" s="13" t="s">
        <v>367</v>
      </c>
      <c r="B412" s="100">
        <f ca="1">VLOOKUP(A412,'Listing Inventory'!$B$5:$D$642,3,FALSE)</f>
        <v>0</v>
      </c>
      <c r="C412" s="6">
        <v>4</v>
      </c>
      <c r="D412" s="4" t="s">
        <v>575</v>
      </c>
      <c r="E412" s="4">
        <f ca="1">SUM((B407*C407),(B412*C412),(B419),(B420*C420),(B421*C421),(B431*C431))</f>
        <v>0</v>
      </c>
      <c r="G412" s="13" t="s">
        <v>367</v>
      </c>
      <c r="H412" s="4">
        <f ca="1">ROUNDDOWN((MIN(E406,E412)/4),0)</f>
        <v>0</v>
      </c>
    </row>
    <row r="413" spans="1:8">
      <c r="A413" s="13" t="s">
        <v>368</v>
      </c>
      <c r="B413" s="100">
        <f ca="1">VLOOKUP(A413,'Listing Inventory'!$B$5:$D$642,3,FALSE)</f>
        <v>0</v>
      </c>
      <c r="C413" s="6">
        <v>4</v>
      </c>
      <c r="D413" s="4" t="s">
        <v>573</v>
      </c>
      <c r="E413" s="4">
        <f ca="1">SUM((B408*C408),(B413*C413),(B422),(B423*C423),(B424*C424),(B432*C432))</f>
        <v>0</v>
      </c>
      <c r="G413" s="13" t="s">
        <v>368</v>
      </c>
      <c r="H413" s="4">
        <f ca="1">ROUNDDOWN((MIN(E406,E413)/4),0)</f>
        <v>0</v>
      </c>
    </row>
    <row r="414" spans="1:8">
      <c r="A414" s="13" t="s">
        <v>369</v>
      </c>
      <c r="B414" s="100">
        <f ca="1">VLOOKUP(A414,'Listing Inventory'!$B$5:$D$642,3,FALSE)</f>
        <v>0</v>
      </c>
      <c r="C414" s="6">
        <v>4</v>
      </c>
      <c r="D414" s="4" t="s">
        <v>574</v>
      </c>
      <c r="E414" s="4">
        <f ca="1">SUM((B409*C409),(B414*C414),(B425),(B426*C426),(B427*C427),(B433*C433))</f>
        <v>0</v>
      </c>
      <c r="G414" s="13" t="s">
        <v>369</v>
      </c>
      <c r="H414" s="4">
        <f ca="1">ROUNDDOWN((MIN(E406,E414)/4),0)</f>
        <v>0</v>
      </c>
    </row>
    <row r="415" spans="1:8">
      <c r="A415" s="13" t="s">
        <v>370</v>
      </c>
      <c r="B415" s="100">
        <f ca="1">VLOOKUP(A415,'Listing Inventory'!$B$5:$D$642,3,FALSE)</f>
        <v>0</v>
      </c>
      <c r="C415" s="6">
        <v>4</v>
      </c>
      <c r="D415" s="4" t="s">
        <v>572</v>
      </c>
      <c r="E415" s="4">
        <f ca="1">SUM((B410*C410),(B415*C415),(B428*C428),(B429*C429),(B434*C434))</f>
        <v>59</v>
      </c>
      <c r="G415" s="13" t="s">
        <v>370</v>
      </c>
      <c r="H415" s="4">
        <f ca="1">ROUNDDOWN((MIN(E406,E415)/4),0)</f>
        <v>0</v>
      </c>
    </row>
    <row r="416" spans="1:8">
      <c r="A416" s="13" t="s">
        <v>371</v>
      </c>
      <c r="B416" s="100">
        <f ca="1">VLOOKUP(A416,'Listing Inventory'!$B$5:$D$642,3,FALSE)</f>
        <v>0</v>
      </c>
      <c r="C416" s="6">
        <v>1</v>
      </c>
      <c r="D416" s="4"/>
      <c r="E416" s="4"/>
      <c r="G416" s="13" t="s">
        <v>371</v>
      </c>
      <c r="H416" s="4">
        <f ca="1">MIN(E408,E411)</f>
        <v>8</v>
      </c>
    </row>
    <row r="417" spans="1:8">
      <c r="A417" s="13" t="s">
        <v>372</v>
      </c>
      <c r="B417" s="100">
        <f ca="1">VLOOKUP(A417,'Listing Inventory'!$B$5:$D$642,3,FALSE)</f>
        <v>4</v>
      </c>
      <c r="C417" s="6">
        <v>2</v>
      </c>
      <c r="D417" s="4" t="s">
        <v>641</v>
      </c>
      <c r="E417" s="4">
        <f ca="1">B404*C404+B405*C405</f>
        <v>2</v>
      </c>
      <c r="G417" s="13" t="s">
        <v>372</v>
      </c>
      <c r="H417" s="4">
        <f ca="1">ROUNDDOWN((MIN(E408,E411)/2),0)</f>
        <v>4</v>
      </c>
    </row>
    <row r="418" spans="1:8">
      <c r="A418" s="13" t="s">
        <v>373</v>
      </c>
      <c r="B418" s="100">
        <f ca="1">VLOOKUP(A418,'Listing Inventory'!$B$5:$D$642,3,FALSE)</f>
        <v>0</v>
      </c>
      <c r="C418" s="6">
        <v>4</v>
      </c>
      <c r="D418" s="4" t="s">
        <v>642</v>
      </c>
      <c r="E418" s="4">
        <f ca="1">B406*C406+B411*C411</f>
        <v>0</v>
      </c>
      <c r="G418" s="13" t="s">
        <v>373</v>
      </c>
      <c r="H418" s="4">
        <f ca="1">ROUNDDOWN((MIN(E408,E411)/4),0)</f>
        <v>2</v>
      </c>
    </row>
    <row r="419" spans="1:8">
      <c r="A419" s="13" t="s">
        <v>374</v>
      </c>
      <c r="B419" s="100">
        <f ca="1">VLOOKUP(A419,'Listing Inventory'!$B$5:$D$642,3,FALSE)</f>
        <v>0</v>
      </c>
      <c r="C419" s="6">
        <v>1</v>
      </c>
      <c r="D419" s="4" t="s">
        <v>643</v>
      </c>
      <c r="E419" s="4">
        <f ca="1">B407*C407+B412*C412</f>
        <v>0</v>
      </c>
      <c r="G419" s="13" t="s">
        <v>374</v>
      </c>
      <c r="H419" s="4">
        <f ca="1">MIN(E408,E412)</f>
        <v>0</v>
      </c>
    </row>
    <row r="420" spans="1:8">
      <c r="A420" s="13" t="s">
        <v>375</v>
      </c>
      <c r="B420" s="100">
        <f ca="1">VLOOKUP(A420,'Listing Inventory'!$B$5:$D$642,3,FALSE)</f>
        <v>0</v>
      </c>
      <c r="C420" s="6">
        <v>2</v>
      </c>
      <c r="D420" s="4" t="s">
        <v>644</v>
      </c>
      <c r="E420" s="4">
        <f ca="1">B408*C408+B413*C413</f>
        <v>0</v>
      </c>
      <c r="G420" s="13" t="s">
        <v>375</v>
      </c>
      <c r="H420" s="4">
        <f ca="1">ROUNDDOWN((MIN(E408,E412)/2),0)</f>
        <v>0</v>
      </c>
    </row>
    <row r="421" spans="1:8">
      <c r="A421" s="13" t="s">
        <v>376</v>
      </c>
      <c r="B421" s="100">
        <f ca="1">VLOOKUP(A421,'Listing Inventory'!$B$5:$D$642,3,FALSE)</f>
        <v>0</v>
      </c>
      <c r="C421" s="6">
        <v>4</v>
      </c>
      <c r="D421" s="4" t="s">
        <v>645</v>
      </c>
      <c r="E421" s="4">
        <f ca="1">B409*C409+B414*C414</f>
        <v>0</v>
      </c>
      <c r="G421" s="13" t="s">
        <v>376</v>
      </c>
      <c r="H421" s="4">
        <f ca="1">ROUNDDOWN((MIN(E408,E412)/4),0)</f>
        <v>0</v>
      </c>
    </row>
    <row r="422" spans="1:8">
      <c r="A422" s="13" t="s">
        <v>377</v>
      </c>
      <c r="B422" s="100">
        <f ca="1">VLOOKUP(A422,'Listing Inventory'!$B$5:$D$642,3,FALSE)</f>
        <v>0</v>
      </c>
      <c r="C422" s="6">
        <v>1</v>
      </c>
      <c r="D422" s="4" t="s">
        <v>646</v>
      </c>
      <c r="E422" s="4">
        <f ca="1">B410*C410+B415*C415</f>
        <v>0</v>
      </c>
      <c r="G422" s="13" t="s">
        <v>377</v>
      </c>
      <c r="H422" s="4">
        <f ca="1">MIN(E408,E413)</f>
        <v>0</v>
      </c>
    </row>
    <row r="423" spans="1:8">
      <c r="A423" s="13" t="s">
        <v>378</v>
      </c>
      <c r="B423" s="100">
        <f ca="1">VLOOKUP(A423,'Listing Inventory'!$B$5:$D$642,3,FALSE)</f>
        <v>0</v>
      </c>
      <c r="C423" s="6">
        <v>2</v>
      </c>
      <c r="D423" s="4" t="s">
        <v>647</v>
      </c>
      <c r="E423" s="4">
        <f ca="1">SUMPRODUCT(B416:B418,C416:C418)</f>
        <v>8</v>
      </c>
      <c r="G423" s="13" t="s">
        <v>378</v>
      </c>
      <c r="H423" s="4">
        <f ca="1">ROUNDDOWN((MIN(E408,E413)/2),0)</f>
        <v>0</v>
      </c>
    </row>
    <row r="424" spans="1:8">
      <c r="A424" s="13" t="s">
        <v>379</v>
      </c>
      <c r="B424" s="100">
        <f ca="1">VLOOKUP(A424,'Listing Inventory'!$B$5:$D$642,3,FALSE)</f>
        <v>0</v>
      </c>
      <c r="C424" s="6">
        <v>4</v>
      </c>
      <c r="D424" s="4" t="s">
        <v>648</v>
      </c>
      <c r="E424" s="4">
        <f ca="1">SUMPRODUCT(B419:B421,C419:C421)</f>
        <v>0</v>
      </c>
      <c r="G424" s="13" t="s">
        <v>379</v>
      </c>
      <c r="H424" s="4">
        <f ca="1">ROUNDDOWN((MIN(E408,E413)/4),0)</f>
        <v>0</v>
      </c>
    </row>
    <row r="425" spans="1:8">
      <c r="A425" s="13" t="s">
        <v>380</v>
      </c>
      <c r="B425" s="100">
        <f ca="1">VLOOKUP(A425,'Listing Inventory'!$B$5:$D$642,3,FALSE)</f>
        <v>0</v>
      </c>
      <c r="C425" s="6">
        <v>1</v>
      </c>
      <c r="D425" s="4" t="s">
        <v>649</v>
      </c>
      <c r="E425" s="4">
        <f ca="1">SUMPRODUCT(B422:B424,C422:C424)</f>
        <v>0</v>
      </c>
      <c r="G425" s="13" t="s">
        <v>380</v>
      </c>
      <c r="H425" s="4">
        <f ca="1">MIN(E408,E414)</f>
        <v>0</v>
      </c>
    </row>
    <row r="426" spans="1:8">
      <c r="A426" s="13" t="s">
        <v>381</v>
      </c>
      <c r="B426" s="100">
        <f ca="1">VLOOKUP(A426,'Listing Inventory'!$B$5:$D$642,3,FALSE)</f>
        <v>0</v>
      </c>
      <c r="C426" s="6">
        <v>2</v>
      </c>
      <c r="D426" s="4" t="s">
        <v>650</v>
      </c>
      <c r="E426" s="4">
        <f ca="1">SUMPRODUCT(B425:B427,C425:C427)</f>
        <v>0</v>
      </c>
      <c r="G426" s="13" t="s">
        <v>381</v>
      </c>
      <c r="H426" s="4">
        <f ca="1">ROUNDDOWN((MIN(E408,E414)/2),0)</f>
        <v>0</v>
      </c>
    </row>
    <row r="427" spans="1:8">
      <c r="A427" s="13" t="s">
        <v>382</v>
      </c>
      <c r="B427" s="100">
        <f ca="1">VLOOKUP(A427,'Listing Inventory'!$B$5:$D$642,3,FALSE)</f>
        <v>0</v>
      </c>
      <c r="C427" s="6">
        <v>4</v>
      </c>
      <c r="D427" s="4" t="s">
        <v>651</v>
      </c>
      <c r="E427" s="4">
        <f ca="1">SUMPRODUCT(B428:B429,C428:C429)</f>
        <v>59</v>
      </c>
      <c r="G427" s="13" t="s">
        <v>382</v>
      </c>
      <c r="H427" s="4">
        <f ca="1">ROUNDDOWN((MIN(E408,E414)/4),0)</f>
        <v>0</v>
      </c>
    </row>
    <row r="428" spans="1:8">
      <c r="A428" s="13" t="s">
        <v>383</v>
      </c>
      <c r="B428" s="100">
        <f ca="1">VLOOKUP(A428,'Listing Inventory'!$B$5:$D$642,3,FALSE)</f>
        <v>29.5</v>
      </c>
      <c r="C428" s="6">
        <v>2</v>
      </c>
      <c r="D428" s="4" t="s">
        <v>652</v>
      </c>
      <c r="E428" s="4">
        <f ca="1">B430*C430</f>
        <v>0</v>
      </c>
      <c r="G428" s="13" t="s">
        <v>383</v>
      </c>
      <c r="H428" s="4">
        <f ca="1">ROUNDDOWN((MIN(E408,E415)/2),0)</f>
        <v>29</v>
      </c>
    </row>
    <row r="429" spans="1:8">
      <c r="A429" s="13" t="s">
        <v>384</v>
      </c>
      <c r="B429" s="100">
        <f ca="1">VLOOKUP(A429,'Listing Inventory'!$B$5:$D$642,3,FALSE)</f>
        <v>0</v>
      </c>
      <c r="C429" s="6">
        <v>4</v>
      </c>
      <c r="D429" s="4" t="s">
        <v>653</v>
      </c>
      <c r="E429" s="4">
        <f ca="1">B431*C431</f>
        <v>0</v>
      </c>
      <c r="G429" s="13" t="s">
        <v>384</v>
      </c>
      <c r="H429" s="4">
        <f ca="1">ROUNDDOWN((MIN(E408,E415)/4),0)</f>
        <v>14</v>
      </c>
    </row>
    <row r="430" spans="1:8">
      <c r="A430" s="13" t="s">
        <v>385</v>
      </c>
      <c r="B430" s="100">
        <f ca="1">VLOOKUP(A430,'Listing Inventory'!$B$5:$D$642,3,FALSE)</f>
        <v>0</v>
      </c>
      <c r="C430" s="6">
        <v>2</v>
      </c>
      <c r="D430" s="4" t="s">
        <v>654</v>
      </c>
      <c r="E430" s="4">
        <f ca="1">B432*C432</f>
        <v>0</v>
      </c>
      <c r="G430" s="13" t="s">
        <v>385</v>
      </c>
      <c r="H430" s="4">
        <f ca="1">ROUNDDOWN((MIN(E407,E411)/2),0)</f>
        <v>0</v>
      </c>
    </row>
    <row r="431" spans="1:8">
      <c r="A431" s="13" t="s">
        <v>386</v>
      </c>
      <c r="B431" s="100">
        <f ca="1">VLOOKUP(A431,'Listing Inventory'!$B$5:$D$642,3,FALSE)</f>
        <v>0</v>
      </c>
      <c r="C431" s="6">
        <v>2</v>
      </c>
      <c r="D431" s="4" t="s">
        <v>655</v>
      </c>
      <c r="E431" s="4">
        <f ca="1">B433*C433</f>
        <v>0</v>
      </c>
      <c r="G431" s="13" t="s">
        <v>386</v>
      </c>
      <c r="H431" s="4">
        <f ca="1">ROUNDDOWN((MIN(E407,E412)/2),0)</f>
        <v>0</v>
      </c>
    </row>
    <row r="432" spans="1:8">
      <c r="A432" s="13" t="s">
        <v>387</v>
      </c>
      <c r="B432" s="100">
        <f ca="1">VLOOKUP(A432,'Listing Inventory'!$B$5:$D$642,3,FALSE)</f>
        <v>0</v>
      </c>
      <c r="C432" s="6">
        <v>2</v>
      </c>
      <c r="D432" s="4" t="s">
        <v>656</v>
      </c>
      <c r="E432" s="4">
        <f ca="1">B434*C434</f>
        <v>0</v>
      </c>
      <c r="G432" s="13" t="s">
        <v>387</v>
      </c>
      <c r="H432" s="4">
        <f ca="1">ROUNDDOWN((MIN(E407,E413)/2),0)</f>
        <v>0</v>
      </c>
    </row>
    <row r="433" spans="1:8">
      <c r="A433" s="13" t="s">
        <v>388</v>
      </c>
      <c r="B433" s="100">
        <f ca="1">VLOOKUP(A433,'Listing Inventory'!$B$5:$D$642,3,FALSE)</f>
        <v>0</v>
      </c>
      <c r="C433" s="6">
        <v>2</v>
      </c>
      <c r="D433" s="4"/>
      <c r="E433" s="4"/>
      <c r="G433" s="13" t="s">
        <v>388</v>
      </c>
      <c r="H433" s="4">
        <f ca="1">ROUNDDOWN((MIN(E407,E414)/2),0)</f>
        <v>0</v>
      </c>
    </row>
    <row r="434" spans="1:8">
      <c r="A434" s="13" t="s">
        <v>389</v>
      </c>
      <c r="B434" s="100">
        <f ca="1">VLOOKUP(A434,'Listing Inventory'!$B$5:$D$642,3,FALSE)</f>
        <v>0</v>
      </c>
      <c r="C434" s="6">
        <v>2</v>
      </c>
      <c r="G434" s="13" t="s">
        <v>389</v>
      </c>
      <c r="H434" s="4">
        <f ca="1">ROUNDDOWN((MIN(E407,E415)/2),0)</f>
        <v>0</v>
      </c>
    </row>
    <row r="435" spans="1:8">
      <c r="B435" s="100"/>
    </row>
    <row r="436" spans="1:8">
      <c r="A436" s="66"/>
      <c r="B436" s="100"/>
      <c r="C436" s="66"/>
      <c r="D436" s="66"/>
      <c r="E436" s="66"/>
      <c r="F436" s="66"/>
      <c r="G436" s="66"/>
    </row>
    <row r="437" spans="1:8">
      <c r="B437" s="100"/>
    </row>
    <row r="438" spans="1:8">
      <c r="A438" s="68" t="s">
        <v>506</v>
      </c>
      <c r="B438" s="100">
        <f ca="1">VLOOKUP(A438,'Listing Inventory'!$B$5:$D$642,3,FALSE)</f>
        <v>40</v>
      </c>
      <c r="C438" s="6">
        <v>1</v>
      </c>
      <c r="D438" s="68" t="s">
        <v>506</v>
      </c>
      <c r="E438" s="6">
        <f ca="1">SUMPRODUCT(B438:B439,C438:C439)</f>
        <v>40</v>
      </c>
      <c r="G438" s="68" t="s">
        <v>506</v>
      </c>
      <c r="H438" s="6">
        <f ca="1">E438</f>
        <v>40</v>
      </c>
    </row>
    <row r="439" spans="1:8">
      <c r="A439" s="68" t="s">
        <v>507</v>
      </c>
      <c r="B439" s="100">
        <f ca="1">VLOOKUP(A439,'Listing Inventory'!$B$5:$D$642,3,FALSE)</f>
        <v>0</v>
      </c>
      <c r="C439" s="6">
        <v>0</v>
      </c>
      <c r="G439" s="68" t="s">
        <v>507</v>
      </c>
      <c r="H439" s="6">
        <f ca="1">E438</f>
        <v>40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G644"/>
  <sheetViews>
    <sheetView topLeftCell="A603" zoomScaleNormal="100" workbookViewId="0">
      <selection activeCell="B5" sqref="B5:C642"/>
    </sheetView>
  </sheetViews>
  <sheetFormatPr defaultRowHeight="15"/>
  <cols>
    <col min="1" max="1" width="20.7109375" style="22" bestFit="1" customWidth="1"/>
    <col min="2" max="2" width="20.7109375" style="3" bestFit="1" customWidth="1"/>
    <col min="3" max="3" width="20.42578125" style="3" customWidth="1"/>
    <col min="4" max="4" width="22.7109375" customWidth="1"/>
    <col min="5" max="6" width="18.7109375" customWidth="1"/>
    <col min="7" max="7" width="24.85546875" customWidth="1"/>
  </cols>
  <sheetData>
    <row r="1" spans="1:7" s="79" customFormat="1">
      <c r="A1" s="118" t="s">
        <v>790</v>
      </c>
      <c r="B1" s="119"/>
      <c r="C1" s="119"/>
      <c r="D1" s="119"/>
      <c r="E1" s="119"/>
      <c r="F1" s="119"/>
      <c r="G1" s="119"/>
    </row>
    <row r="2" spans="1:7" s="79" customFormat="1">
      <c r="A2" s="119"/>
      <c r="B2" s="119"/>
      <c r="C2" s="119"/>
      <c r="D2" s="119"/>
      <c r="E2" s="119"/>
      <c r="F2" s="119"/>
      <c r="G2" s="119"/>
    </row>
    <row r="3" spans="1:7" s="79" customFormat="1">
      <c r="A3" s="119"/>
      <c r="B3" s="119"/>
      <c r="C3" s="119"/>
      <c r="D3" s="119"/>
      <c r="E3" s="119"/>
      <c r="F3" s="119"/>
      <c r="G3" s="119"/>
    </row>
    <row r="4" spans="1:7">
      <c r="A4" s="21" t="s">
        <v>599</v>
      </c>
      <c r="B4" s="83" t="s">
        <v>600</v>
      </c>
      <c r="C4" s="83" t="s">
        <v>601</v>
      </c>
      <c r="D4" s="79" t="s">
        <v>791</v>
      </c>
      <c r="E4" s="99" t="s">
        <v>812</v>
      </c>
      <c r="F4" s="99" t="s">
        <v>813</v>
      </c>
    </row>
    <row r="5" spans="1:7">
      <c r="A5" t="s">
        <v>71</v>
      </c>
      <c r="B5" s="80" t="s">
        <v>71</v>
      </c>
      <c r="C5" s="82">
        <f t="shared" ref="C5:C70" ca="1" si="0">D5</f>
        <v>19</v>
      </c>
      <c r="D5" s="81">
        <f ca="1">E5+F5</f>
        <v>19</v>
      </c>
      <c r="E5">
        <f ca="1">VLOOKUP(B5,'Warehouse Inventory'!$I$2:$L$643,4,FALSE)</f>
        <v>19</v>
      </c>
      <c r="F5" s="108" t="str">
        <f>IFERROR(VLOOKUP(B5,'Warehouse B'!$I$2:$L$148,4,FALSE),"0")</f>
        <v>0</v>
      </c>
    </row>
    <row r="6" spans="1:7">
      <c r="A6" t="s">
        <v>8</v>
      </c>
      <c r="B6" s="80" t="s">
        <v>8</v>
      </c>
      <c r="C6" s="82">
        <f t="shared" ca="1" si="0"/>
        <v>22</v>
      </c>
      <c r="D6" s="81">
        <f t="shared" ref="D6:D71" ca="1" si="1">E6+F6</f>
        <v>22</v>
      </c>
      <c r="E6" s="99">
        <f ca="1">VLOOKUP(B6,'Warehouse Inventory'!$I$2:$L$643,4,FALSE)</f>
        <v>22</v>
      </c>
      <c r="F6" s="108" t="str">
        <f>IFERROR(VLOOKUP(B6,'Warehouse B'!$I$2:$L$148,4,FALSE),"0")</f>
        <v>0</v>
      </c>
    </row>
    <row r="7" spans="1:7" s="79" customFormat="1">
      <c r="A7" s="79" t="s">
        <v>803</v>
      </c>
      <c r="B7" s="81" t="s">
        <v>803</v>
      </c>
      <c r="C7" s="82">
        <f t="shared" ca="1" si="0"/>
        <v>19</v>
      </c>
      <c r="D7" s="81">
        <f t="shared" ca="1" si="1"/>
        <v>19</v>
      </c>
      <c r="E7" s="99">
        <f ca="1">VLOOKUP(B7,'Warehouse Inventory'!$I$2:$L$643,4,FALSE)</f>
        <v>19</v>
      </c>
      <c r="F7" s="108" t="str">
        <f>IFERROR(VLOOKUP(B7,'Warehouse B'!$I$2:$L$148,4,FALSE),"0")</f>
        <v>0</v>
      </c>
    </row>
    <row r="8" spans="1:7">
      <c r="A8" t="s">
        <v>17</v>
      </c>
      <c r="B8" s="80" t="s">
        <v>17</v>
      </c>
      <c r="C8" s="82">
        <f t="shared" ca="1" si="0"/>
        <v>17</v>
      </c>
      <c r="D8" s="81">
        <f t="shared" ca="1" si="1"/>
        <v>17</v>
      </c>
      <c r="E8" s="99">
        <f ca="1">VLOOKUP(B8,'Warehouse Inventory'!$I$2:$L$643,4,FALSE)</f>
        <v>17</v>
      </c>
      <c r="F8" s="108" t="str">
        <f>IFERROR(VLOOKUP(B8,'Warehouse B'!$I$2:$L$148,4,FALSE),"0")</f>
        <v>0</v>
      </c>
    </row>
    <row r="9" spans="1:7">
      <c r="A9" t="s">
        <v>692</v>
      </c>
      <c r="B9" s="80" t="s">
        <v>692</v>
      </c>
      <c r="C9" s="82">
        <f t="shared" ca="1" si="0"/>
        <v>45</v>
      </c>
      <c r="D9" s="81">
        <f t="shared" ca="1" si="1"/>
        <v>45</v>
      </c>
      <c r="E9" s="99">
        <f ca="1">VLOOKUP(B9,'Warehouse Inventory'!$I$2:$L$643,4,FALSE)</f>
        <v>45</v>
      </c>
      <c r="F9" s="108" t="str">
        <f>IFERROR(VLOOKUP(B9,'Warehouse B'!$I$2:$L$148,4,FALSE),"0")</f>
        <v>0</v>
      </c>
    </row>
    <row r="10" spans="1:7">
      <c r="A10" t="s">
        <v>18</v>
      </c>
      <c r="B10" s="80" t="s">
        <v>18</v>
      </c>
      <c r="C10" s="82">
        <f t="shared" ca="1" si="0"/>
        <v>52</v>
      </c>
      <c r="D10" s="81">
        <f t="shared" ca="1" si="1"/>
        <v>52</v>
      </c>
      <c r="E10" s="99">
        <f ca="1">VLOOKUP(B10,'Warehouse Inventory'!$I$2:$L$643,4,FALSE)</f>
        <v>52</v>
      </c>
      <c r="F10" s="108" t="str">
        <f>IFERROR(VLOOKUP(B10,'Warehouse B'!$I$2:$L$148,4,FALSE),"0")</f>
        <v>0</v>
      </c>
    </row>
    <row r="11" spans="1:7">
      <c r="A11" t="s">
        <v>67</v>
      </c>
      <c r="B11" s="80" t="s">
        <v>67</v>
      </c>
      <c r="C11" s="82">
        <f t="shared" ca="1" si="0"/>
        <v>49</v>
      </c>
      <c r="D11" s="81">
        <f t="shared" ca="1" si="1"/>
        <v>49</v>
      </c>
      <c r="E11" s="99">
        <f ca="1">VLOOKUP(B11,'Warehouse Inventory'!$I$2:$L$643,4,FALSE)</f>
        <v>49</v>
      </c>
      <c r="F11" s="108" t="str">
        <f>IFERROR(VLOOKUP(B11,'Warehouse B'!$I$2:$L$148,4,FALSE),"0")</f>
        <v>0</v>
      </c>
    </row>
    <row r="12" spans="1:7">
      <c r="A12" t="s">
        <v>280</v>
      </c>
      <c r="B12" s="80" t="s">
        <v>280</v>
      </c>
      <c r="C12" s="82">
        <f t="shared" ca="1" si="0"/>
        <v>33</v>
      </c>
      <c r="D12" s="81">
        <f t="shared" ca="1" si="1"/>
        <v>33</v>
      </c>
      <c r="E12" s="99">
        <f ca="1">VLOOKUP(B12,'Warehouse Inventory'!$I$2:$L$643,4,FALSE)</f>
        <v>33</v>
      </c>
      <c r="F12" s="108" t="str">
        <f>IFERROR(VLOOKUP(B12,'Warehouse B'!$I$2:$L$148,4,FALSE),"0")</f>
        <v>0</v>
      </c>
    </row>
    <row r="13" spans="1:7">
      <c r="A13" t="s">
        <v>281</v>
      </c>
      <c r="B13" s="80" t="s">
        <v>281</v>
      </c>
      <c r="C13" s="82">
        <f t="shared" ca="1" si="0"/>
        <v>11</v>
      </c>
      <c r="D13" s="81">
        <f t="shared" ca="1" si="1"/>
        <v>11</v>
      </c>
      <c r="E13" s="99">
        <f ca="1">VLOOKUP(B13,'Warehouse Inventory'!$I$2:$L$643,4,FALSE)</f>
        <v>11</v>
      </c>
      <c r="F13" s="108" t="str">
        <f>IFERROR(VLOOKUP(B13,'Warehouse B'!$I$2:$L$148,4,FALSE),"0")</f>
        <v>0</v>
      </c>
    </row>
    <row r="14" spans="1:7">
      <c r="A14" t="s">
        <v>36</v>
      </c>
      <c r="B14" s="80" t="s">
        <v>36</v>
      </c>
      <c r="C14" s="82">
        <f t="shared" ca="1" si="0"/>
        <v>67</v>
      </c>
      <c r="D14" s="81">
        <f t="shared" ca="1" si="1"/>
        <v>67</v>
      </c>
      <c r="E14" s="99">
        <f ca="1">VLOOKUP(B14,'Warehouse Inventory'!$I$2:$L$643,4,FALSE)</f>
        <v>67</v>
      </c>
      <c r="F14" s="108" t="str">
        <f>IFERROR(VLOOKUP(B14,'Warehouse B'!$I$2:$L$148,4,FALSE),"0")</f>
        <v>0</v>
      </c>
    </row>
    <row r="15" spans="1:7">
      <c r="A15" t="s">
        <v>41</v>
      </c>
      <c r="B15" s="80" t="s">
        <v>41</v>
      </c>
      <c r="C15" s="82">
        <f t="shared" ca="1" si="0"/>
        <v>22</v>
      </c>
      <c r="D15" s="81">
        <f t="shared" ca="1" si="1"/>
        <v>22</v>
      </c>
      <c r="E15" s="99">
        <f ca="1">VLOOKUP(B15,'Warehouse Inventory'!$I$2:$L$643,4,FALSE)</f>
        <v>22</v>
      </c>
      <c r="F15" s="108" t="str">
        <f>IFERROR(VLOOKUP(B15,'Warehouse B'!$I$2:$L$148,4,FALSE),"0")</f>
        <v>0</v>
      </c>
    </row>
    <row r="16" spans="1:7">
      <c r="A16" t="s">
        <v>27</v>
      </c>
      <c r="B16" s="80" t="s">
        <v>27</v>
      </c>
      <c r="C16" s="82">
        <f t="shared" ca="1" si="0"/>
        <v>3</v>
      </c>
      <c r="D16" s="81">
        <f t="shared" ca="1" si="1"/>
        <v>3</v>
      </c>
      <c r="E16" s="99">
        <f ca="1">VLOOKUP(B16,'Warehouse Inventory'!$I$2:$L$643,4,FALSE)</f>
        <v>3</v>
      </c>
      <c r="F16" s="108" t="str">
        <f>IFERROR(VLOOKUP(B16,'Warehouse B'!$I$2:$L$148,4,FALSE),"0")</f>
        <v>0</v>
      </c>
    </row>
    <row r="17" spans="1:6">
      <c r="A17" t="s">
        <v>54</v>
      </c>
      <c r="B17" s="80" t="s">
        <v>54</v>
      </c>
      <c r="C17" s="82">
        <f t="shared" ca="1" si="0"/>
        <v>13</v>
      </c>
      <c r="D17" s="81">
        <f t="shared" ca="1" si="1"/>
        <v>13</v>
      </c>
      <c r="E17" s="99">
        <f ca="1">VLOOKUP(B17,'Warehouse Inventory'!$I$2:$L$643,4,FALSE)</f>
        <v>13</v>
      </c>
      <c r="F17" s="108" t="str">
        <f>IFERROR(VLOOKUP(B17,'Warehouse B'!$I$2:$L$148,4,FALSE),"0")</f>
        <v>0</v>
      </c>
    </row>
    <row r="18" spans="1:6">
      <c r="A18" t="s">
        <v>68</v>
      </c>
      <c r="B18" s="80" t="s">
        <v>68</v>
      </c>
      <c r="C18" s="82">
        <f t="shared" ca="1" si="0"/>
        <v>22</v>
      </c>
      <c r="D18" s="81">
        <f t="shared" ca="1" si="1"/>
        <v>22</v>
      </c>
      <c r="E18" s="99">
        <f ca="1">VLOOKUP(B18,'Warehouse Inventory'!$I$2:$L$643,4,FALSE)</f>
        <v>22</v>
      </c>
      <c r="F18" s="108" t="str">
        <f>IFERROR(VLOOKUP(B18,'Warehouse B'!$I$2:$L$148,4,FALSE),"0")</f>
        <v>0</v>
      </c>
    </row>
    <row r="19" spans="1:6">
      <c r="A19" t="s">
        <v>20</v>
      </c>
      <c r="B19" s="80" t="s">
        <v>20</v>
      </c>
      <c r="C19" s="82">
        <f t="shared" ca="1" si="0"/>
        <v>2</v>
      </c>
      <c r="D19" s="81">
        <f t="shared" ca="1" si="1"/>
        <v>2</v>
      </c>
      <c r="E19" s="99">
        <f ca="1">VLOOKUP(B19,'Warehouse Inventory'!$I$2:$L$643,4,FALSE)</f>
        <v>2</v>
      </c>
      <c r="F19" s="108" t="str">
        <f>IFERROR(VLOOKUP(B19,'Warehouse B'!$I$2:$L$148,4,FALSE),"0")</f>
        <v>0</v>
      </c>
    </row>
    <row r="20" spans="1:6">
      <c r="A20" t="s">
        <v>72</v>
      </c>
      <c r="B20" s="80" t="s">
        <v>72</v>
      </c>
      <c r="C20" s="82">
        <f t="shared" ca="1" si="0"/>
        <v>60</v>
      </c>
      <c r="D20" s="81">
        <f t="shared" ca="1" si="1"/>
        <v>60</v>
      </c>
      <c r="E20" s="99">
        <f ca="1">VLOOKUP(B20,'Warehouse Inventory'!$I$2:$L$643,4,FALSE)</f>
        <v>60</v>
      </c>
      <c r="F20" s="108" t="str">
        <f>IFERROR(VLOOKUP(B20,'Warehouse B'!$I$2:$L$148,4,FALSE),"0")</f>
        <v>0</v>
      </c>
    </row>
    <row r="21" spans="1:6">
      <c r="A21" t="s">
        <v>73</v>
      </c>
      <c r="B21" s="80" t="s">
        <v>73</v>
      </c>
      <c r="C21" s="82">
        <f t="shared" ca="1" si="0"/>
        <v>0</v>
      </c>
      <c r="D21" s="81">
        <f t="shared" ca="1" si="1"/>
        <v>0</v>
      </c>
      <c r="E21" s="99">
        <f ca="1">VLOOKUP(B21,'Warehouse Inventory'!$I$2:$L$643,4,FALSE)</f>
        <v>0</v>
      </c>
      <c r="F21" s="108" t="str">
        <f>IFERROR(VLOOKUP(B21,'Warehouse B'!$I$2:$L$148,4,FALSE),"0")</f>
        <v>0</v>
      </c>
    </row>
    <row r="22" spans="1:6" s="79" customFormat="1">
      <c r="A22" s="79" t="s">
        <v>764</v>
      </c>
      <c r="B22" s="81" t="s">
        <v>764</v>
      </c>
      <c r="C22" s="82">
        <f t="shared" ca="1" si="0"/>
        <v>3</v>
      </c>
      <c r="D22" s="81">
        <f t="shared" ca="1" si="1"/>
        <v>3</v>
      </c>
      <c r="E22" s="99">
        <f ca="1">VLOOKUP(B22,'Warehouse Inventory'!$I$2:$L$643,4,FALSE)</f>
        <v>3</v>
      </c>
      <c r="F22" s="108" t="str">
        <f>IFERROR(VLOOKUP(B22,'Warehouse B'!$I$2:$L$148,4,FALSE),"0")</f>
        <v>0</v>
      </c>
    </row>
    <row r="23" spans="1:6" s="79" customFormat="1">
      <c r="A23" s="79" t="s">
        <v>792</v>
      </c>
      <c r="B23" s="81" t="s">
        <v>792</v>
      </c>
      <c r="C23" s="82">
        <f t="shared" ca="1" si="0"/>
        <v>0</v>
      </c>
      <c r="D23" s="81">
        <f t="shared" ca="1" si="1"/>
        <v>0</v>
      </c>
      <c r="E23" s="99">
        <f ca="1">VLOOKUP(B23,'Warehouse Inventory'!$I$2:$L$643,4,FALSE)</f>
        <v>0</v>
      </c>
      <c r="F23" s="108" t="str">
        <f>IFERROR(VLOOKUP(B23,'Warehouse B'!$I$2:$L$148,4,FALSE),"0")</f>
        <v>0</v>
      </c>
    </row>
    <row r="24" spans="1:6">
      <c r="A24" t="s">
        <v>70</v>
      </c>
      <c r="B24" s="80" t="s">
        <v>70</v>
      </c>
      <c r="C24" s="82">
        <f t="shared" ca="1" si="0"/>
        <v>2</v>
      </c>
      <c r="D24" s="81">
        <f t="shared" ca="1" si="1"/>
        <v>2</v>
      </c>
      <c r="E24" s="99">
        <f ca="1">VLOOKUP(B24,'Warehouse Inventory'!$I$2:$L$643,4,FALSE)</f>
        <v>2</v>
      </c>
      <c r="F24" s="108" t="str">
        <f>IFERROR(VLOOKUP(B24,'Warehouse B'!$I$2:$L$148,4,FALSE),"0")</f>
        <v>0</v>
      </c>
    </row>
    <row r="25" spans="1:6">
      <c r="A25" t="s">
        <v>282</v>
      </c>
      <c r="B25" s="80" t="s">
        <v>282</v>
      </c>
      <c r="C25" s="82">
        <f t="shared" ca="1" si="0"/>
        <v>23</v>
      </c>
      <c r="D25" s="81">
        <f t="shared" ca="1" si="1"/>
        <v>23</v>
      </c>
      <c r="E25" s="99">
        <f ca="1">VLOOKUP(B25,'Warehouse Inventory'!$I$2:$L$643,4,FALSE)</f>
        <v>0</v>
      </c>
      <c r="F25" s="108">
        <f ca="1">IFERROR(VLOOKUP(B25,'Warehouse B'!$I$2:$L$148,4,FALSE),"0")</f>
        <v>23</v>
      </c>
    </row>
    <row r="26" spans="1:6">
      <c r="A26" t="s">
        <v>283</v>
      </c>
      <c r="B26" s="80" t="s">
        <v>283</v>
      </c>
      <c r="C26" s="82">
        <f t="shared" ca="1" si="0"/>
        <v>0</v>
      </c>
      <c r="D26" s="81">
        <f t="shared" ca="1" si="1"/>
        <v>0</v>
      </c>
      <c r="E26" s="99">
        <f ca="1">VLOOKUP(B26,'Warehouse Inventory'!$I$2:$L$643,4,FALSE)</f>
        <v>0</v>
      </c>
      <c r="F26" s="108" t="str">
        <f>IFERROR(VLOOKUP(B26,'Warehouse B'!$I$2:$L$148,4,FALSE),"0")</f>
        <v>0</v>
      </c>
    </row>
    <row r="27" spans="1:6">
      <c r="A27" t="s">
        <v>284</v>
      </c>
      <c r="B27" s="80" t="s">
        <v>284</v>
      </c>
      <c r="C27" s="82">
        <f t="shared" ca="1" si="0"/>
        <v>0</v>
      </c>
      <c r="D27" s="81">
        <f t="shared" ca="1" si="1"/>
        <v>0</v>
      </c>
      <c r="E27" s="99">
        <f ca="1">VLOOKUP(B27,'Warehouse Inventory'!$I$2:$L$643,4,FALSE)</f>
        <v>0</v>
      </c>
      <c r="F27" s="108" t="str">
        <f>IFERROR(VLOOKUP(B27,'Warehouse B'!$I$2:$L$148,4,FALSE),"0")</f>
        <v>0</v>
      </c>
    </row>
    <row r="28" spans="1:6">
      <c r="A28" t="s">
        <v>285</v>
      </c>
      <c r="B28" s="80" t="s">
        <v>285</v>
      </c>
      <c r="C28" s="82">
        <f t="shared" ca="1" si="0"/>
        <v>11</v>
      </c>
      <c r="D28" s="81">
        <f t="shared" ca="1" si="1"/>
        <v>11</v>
      </c>
      <c r="E28" s="99">
        <f ca="1">VLOOKUP(B28,'Warehouse Inventory'!$I$2:$L$643,4,FALSE)</f>
        <v>11</v>
      </c>
      <c r="F28" s="108" t="str">
        <f>IFERROR(VLOOKUP(B28,'Warehouse B'!$I$2:$L$148,4,FALSE),"0")</f>
        <v>0</v>
      </c>
    </row>
    <row r="29" spans="1:6">
      <c r="A29" s="3" t="s">
        <v>708</v>
      </c>
      <c r="B29" s="80" t="s">
        <v>708</v>
      </c>
      <c r="C29" s="82">
        <f t="shared" ca="1" si="0"/>
        <v>0</v>
      </c>
      <c r="D29" s="81">
        <f t="shared" ca="1" si="1"/>
        <v>0</v>
      </c>
      <c r="E29" s="99">
        <f ca="1">VLOOKUP(B29,'Warehouse Inventory'!$I$2:$L$643,4,FALSE)</f>
        <v>0</v>
      </c>
      <c r="F29" s="108" t="str">
        <f>IFERROR(VLOOKUP(B29,'Warehouse B'!$I$2:$L$148,4,FALSE),"0")</f>
        <v>0</v>
      </c>
    </row>
    <row r="30" spans="1:6">
      <c r="A30" s="3" t="s">
        <v>709</v>
      </c>
      <c r="B30" s="80" t="s">
        <v>709</v>
      </c>
      <c r="C30" s="82">
        <f t="shared" ca="1" si="0"/>
        <v>0</v>
      </c>
      <c r="D30" s="81">
        <f t="shared" ca="1" si="1"/>
        <v>0</v>
      </c>
      <c r="E30" s="99">
        <f ca="1">VLOOKUP(B30,'Warehouse Inventory'!$I$2:$L$643,4,FALSE)</f>
        <v>0</v>
      </c>
      <c r="F30" s="108" t="str">
        <f>IFERROR(VLOOKUP(B30,'Warehouse B'!$I$2:$L$148,4,FALSE),"0")</f>
        <v>0</v>
      </c>
    </row>
    <row r="31" spans="1:6">
      <c r="A31" t="s">
        <v>74</v>
      </c>
      <c r="B31" s="80" t="s">
        <v>74</v>
      </c>
      <c r="C31" s="82">
        <f t="shared" ca="1" si="0"/>
        <v>0</v>
      </c>
      <c r="D31" s="81">
        <f t="shared" ca="1" si="1"/>
        <v>0</v>
      </c>
      <c r="E31" s="99">
        <f ca="1">VLOOKUP(B31,'Warehouse Inventory'!$I$2:$L$643,4,FALSE)</f>
        <v>0</v>
      </c>
      <c r="F31" s="108" t="str">
        <f>IFERROR(VLOOKUP(B31,'Warehouse B'!$I$2:$L$148,4,FALSE),"0")</f>
        <v>0</v>
      </c>
    </row>
    <row r="32" spans="1:6">
      <c r="A32" t="s">
        <v>286</v>
      </c>
      <c r="B32" s="80" t="s">
        <v>286</v>
      </c>
      <c r="C32" s="82">
        <f t="shared" ca="1" si="0"/>
        <v>0</v>
      </c>
      <c r="D32" s="81">
        <f t="shared" ca="1" si="1"/>
        <v>0</v>
      </c>
      <c r="E32" s="99">
        <f ca="1">VLOOKUP(B32,'Warehouse Inventory'!$I$2:$L$643,4,FALSE)</f>
        <v>0</v>
      </c>
      <c r="F32" s="108" t="str">
        <f>IFERROR(VLOOKUP(B32,'Warehouse B'!$I$2:$L$148,4,FALSE),"0")</f>
        <v>0</v>
      </c>
    </row>
    <row r="33" spans="1:6">
      <c r="A33" t="s">
        <v>710</v>
      </c>
      <c r="B33" s="81" t="s">
        <v>710</v>
      </c>
      <c r="C33" s="82">
        <f t="shared" ca="1" si="0"/>
        <v>0</v>
      </c>
      <c r="D33" s="81">
        <f t="shared" ca="1" si="1"/>
        <v>0</v>
      </c>
      <c r="E33" s="99">
        <f ca="1">VLOOKUP(B33,'Warehouse Inventory'!$I$2:$L$643,4,FALSE)</f>
        <v>0</v>
      </c>
      <c r="F33" s="108" t="str">
        <f>IFERROR(VLOOKUP(B33,'Warehouse B'!$I$2:$L$148,4,FALSE),"0")</f>
        <v>0</v>
      </c>
    </row>
    <row r="34" spans="1:6">
      <c r="A34" t="s">
        <v>75</v>
      </c>
      <c r="B34" s="80" t="s">
        <v>75</v>
      </c>
      <c r="C34" s="82">
        <f t="shared" ca="1" si="0"/>
        <v>0</v>
      </c>
      <c r="D34" s="81">
        <f t="shared" ca="1" si="1"/>
        <v>0</v>
      </c>
      <c r="E34" s="99">
        <f ca="1">VLOOKUP(B34,'Warehouse Inventory'!$I$2:$L$643,4,FALSE)</f>
        <v>0</v>
      </c>
      <c r="F34" s="108" t="str">
        <f>IFERROR(VLOOKUP(B34,'Warehouse B'!$I$2:$L$148,4,FALSE),"0")</f>
        <v>0</v>
      </c>
    </row>
    <row r="35" spans="1:6">
      <c r="A35" t="s">
        <v>76</v>
      </c>
      <c r="B35" s="80" t="s">
        <v>76</v>
      </c>
      <c r="C35" s="82">
        <f t="shared" ca="1" si="0"/>
        <v>0</v>
      </c>
      <c r="D35" s="81">
        <f t="shared" ca="1" si="1"/>
        <v>0</v>
      </c>
      <c r="E35" s="99">
        <f ca="1">VLOOKUP(B35,'Warehouse Inventory'!$I$2:$L$643,4,FALSE)</f>
        <v>0</v>
      </c>
      <c r="F35" s="108" t="str">
        <f>IFERROR(VLOOKUP(B35,'Warehouse B'!$I$2:$L$148,4,FALSE),"0")</f>
        <v>0</v>
      </c>
    </row>
    <row r="36" spans="1:6">
      <c r="A36" t="s">
        <v>287</v>
      </c>
      <c r="B36" s="80" t="s">
        <v>287</v>
      </c>
      <c r="C36" s="82">
        <f t="shared" ca="1" si="0"/>
        <v>0</v>
      </c>
      <c r="D36" s="81">
        <f t="shared" ca="1" si="1"/>
        <v>0</v>
      </c>
      <c r="E36" s="99">
        <f ca="1">VLOOKUP(B36,'Warehouse Inventory'!$I$2:$L$643,4,FALSE)</f>
        <v>0</v>
      </c>
      <c r="F36" s="108" t="str">
        <f>IFERROR(VLOOKUP(B36,'Warehouse B'!$I$2:$L$148,4,FALSE),"0")</f>
        <v>0</v>
      </c>
    </row>
    <row r="37" spans="1:6">
      <c r="A37" t="s">
        <v>288</v>
      </c>
      <c r="B37" s="80" t="s">
        <v>288</v>
      </c>
      <c r="C37" s="82">
        <f t="shared" ca="1" si="0"/>
        <v>3</v>
      </c>
      <c r="D37" s="81">
        <f t="shared" ca="1" si="1"/>
        <v>3</v>
      </c>
      <c r="E37" s="99">
        <f ca="1">VLOOKUP(B37,'Warehouse Inventory'!$I$2:$L$643,4,FALSE)</f>
        <v>0</v>
      </c>
      <c r="F37" s="108">
        <f ca="1">IFERROR(VLOOKUP(B37,'Warehouse B'!$I$2:$L$148,4,FALSE),"0")</f>
        <v>3</v>
      </c>
    </row>
    <row r="38" spans="1:6">
      <c r="A38" t="s">
        <v>289</v>
      </c>
      <c r="B38" s="80" t="s">
        <v>289</v>
      </c>
      <c r="C38" s="82">
        <f t="shared" ca="1" si="0"/>
        <v>6</v>
      </c>
      <c r="D38" s="81">
        <f t="shared" ca="1" si="1"/>
        <v>6</v>
      </c>
      <c r="E38" s="99">
        <f ca="1">VLOOKUP(B38,'Warehouse Inventory'!$I$2:$L$643,4,FALSE)</f>
        <v>3</v>
      </c>
      <c r="F38" s="108">
        <f ca="1">IFERROR(VLOOKUP(B38,'Warehouse B'!$I$2:$L$148,4,FALSE),"0")</f>
        <v>3</v>
      </c>
    </row>
    <row r="39" spans="1:6">
      <c r="A39" t="s">
        <v>290</v>
      </c>
      <c r="B39" s="80" t="s">
        <v>290</v>
      </c>
      <c r="C39" s="82">
        <f t="shared" ca="1" si="0"/>
        <v>2</v>
      </c>
      <c r="D39" s="81">
        <f t="shared" ca="1" si="1"/>
        <v>2</v>
      </c>
      <c r="E39" s="99">
        <f ca="1">VLOOKUP(B39,'Warehouse Inventory'!$I$2:$L$643,4,FALSE)</f>
        <v>0</v>
      </c>
      <c r="F39" s="108">
        <f ca="1">IFERROR(VLOOKUP(B39,'Warehouse B'!$I$2:$L$148,4,FALSE),"0")</f>
        <v>2</v>
      </c>
    </row>
    <row r="40" spans="1:6">
      <c r="A40" t="s">
        <v>291</v>
      </c>
      <c r="B40" s="80" t="s">
        <v>291</v>
      </c>
      <c r="C40" s="82">
        <f t="shared" ca="1" si="0"/>
        <v>0</v>
      </c>
      <c r="D40" s="81">
        <f t="shared" ca="1" si="1"/>
        <v>0</v>
      </c>
      <c r="E40" s="99">
        <f ca="1">VLOOKUP(B40,'Warehouse Inventory'!$I$2:$L$643,4,FALSE)</f>
        <v>0</v>
      </c>
      <c r="F40" s="108">
        <f ca="1">IFERROR(VLOOKUP(B40,'Warehouse B'!$I$2:$L$148,4,FALSE),"0")</f>
        <v>0</v>
      </c>
    </row>
    <row r="41" spans="1:6">
      <c r="A41" t="s">
        <v>292</v>
      </c>
      <c r="B41" s="80" t="s">
        <v>292</v>
      </c>
      <c r="C41" s="82">
        <f t="shared" ca="1" si="0"/>
        <v>3</v>
      </c>
      <c r="D41" s="81">
        <f t="shared" ca="1" si="1"/>
        <v>3</v>
      </c>
      <c r="E41" s="99">
        <f ca="1">VLOOKUP(B41,'Warehouse Inventory'!$I$2:$L$643,4,FALSE)</f>
        <v>3</v>
      </c>
      <c r="F41" s="108" t="str">
        <f>IFERROR(VLOOKUP(B41,'Warehouse B'!$I$2:$L$148,4,FALSE),"0")</f>
        <v>0</v>
      </c>
    </row>
    <row r="42" spans="1:6">
      <c r="A42" t="s">
        <v>293</v>
      </c>
      <c r="B42" s="80" t="s">
        <v>293</v>
      </c>
      <c r="C42" s="82">
        <f t="shared" ca="1" si="0"/>
        <v>64</v>
      </c>
      <c r="D42" s="81">
        <f t="shared" ca="1" si="1"/>
        <v>64</v>
      </c>
      <c r="E42" s="99">
        <f ca="1">VLOOKUP(B42,'Warehouse Inventory'!$I$2:$L$643,4,FALSE)</f>
        <v>0</v>
      </c>
      <c r="F42" s="108">
        <f ca="1">IFERROR(VLOOKUP(B42,'Warehouse B'!$I$2:$L$148,4,FALSE),"0")</f>
        <v>64</v>
      </c>
    </row>
    <row r="43" spans="1:6">
      <c r="A43" t="s">
        <v>294</v>
      </c>
      <c r="B43" s="80" t="s">
        <v>294</v>
      </c>
      <c r="C43" s="82">
        <f t="shared" ca="1" si="0"/>
        <v>27</v>
      </c>
      <c r="D43" s="81">
        <f t="shared" ca="1" si="1"/>
        <v>27</v>
      </c>
      <c r="E43" s="99">
        <f ca="1">VLOOKUP(B43,'Warehouse Inventory'!$I$2:$L$643,4,FALSE)</f>
        <v>11</v>
      </c>
      <c r="F43" s="108">
        <f ca="1">IFERROR(VLOOKUP(B43,'Warehouse B'!$I$2:$L$148,4,FALSE),"0")</f>
        <v>16</v>
      </c>
    </row>
    <row r="44" spans="1:6">
      <c r="A44" t="s">
        <v>295</v>
      </c>
      <c r="B44" s="80" t="s">
        <v>295</v>
      </c>
      <c r="C44" s="82">
        <f t="shared" ca="1" si="0"/>
        <v>9</v>
      </c>
      <c r="D44" s="81">
        <f t="shared" ca="1" si="1"/>
        <v>9</v>
      </c>
      <c r="E44" s="99">
        <f ca="1">VLOOKUP(B44,'Warehouse Inventory'!$I$2:$L$643,4,FALSE)</f>
        <v>0</v>
      </c>
      <c r="F44" s="108">
        <f ca="1">IFERROR(VLOOKUP(B44,'Warehouse B'!$I$2:$L$148,4,FALSE),"0")</f>
        <v>9</v>
      </c>
    </row>
    <row r="45" spans="1:6">
      <c r="A45" t="s">
        <v>296</v>
      </c>
      <c r="B45" s="80" t="s">
        <v>296</v>
      </c>
      <c r="C45" s="82">
        <f t="shared" ca="1" si="0"/>
        <v>46</v>
      </c>
      <c r="D45" s="81">
        <f t="shared" ca="1" si="1"/>
        <v>46</v>
      </c>
      <c r="E45" s="99">
        <f ca="1">VLOOKUP(B45,'Warehouse Inventory'!$I$2:$L$643,4,FALSE)</f>
        <v>0</v>
      </c>
      <c r="F45" s="108">
        <f ca="1">IFERROR(VLOOKUP(B45,'Warehouse B'!$I$2:$L$148,4,FALSE),"0")</f>
        <v>46</v>
      </c>
    </row>
    <row r="46" spans="1:6" s="99" customFormat="1">
      <c r="A46" s="114" t="s">
        <v>817</v>
      </c>
      <c r="B46" s="114" t="s">
        <v>817</v>
      </c>
      <c r="C46" s="82">
        <f t="shared" ref="C46:C47" ca="1" si="2">D46</f>
        <v>14</v>
      </c>
      <c r="D46" s="81">
        <f t="shared" ref="D46:D47" ca="1" si="3">E46+F46</f>
        <v>14</v>
      </c>
      <c r="E46" s="99">
        <f ca="1">VLOOKUP(B46,'Warehouse Inventory'!$I$2:$L$643,4,FALSE)</f>
        <v>0</v>
      </c>
      <c r="F46" s="108">
        <f ca="1">IFERROR(VLOOKUP(B46,'Warehouse B'!$I$2:$L$148,4,FALSE),"0")</f>
        <v>14</v>
      </c>
    </row>
    <row r="47" spans="1:6" s="99" customFormat="1">
      <c r="A47" s="114" t="s">
        <v>818</v>
      </c>
      <c r="B47" s="114" t="s">
        <v>818</v>
      </c>
      <c r="C47" s="82">
        <f t="shared" ca="1" si="2"/>
        <v>17</v>
      </c>
      <c r="D47" s="81">
        <f t="shared" ca="1" si="3"/>
        <v>17</v>
      </c>
      <c r="E47" s="99">
        <f ca="1">VLOOKUP(B47,'Warehouse Inventory'!$I$2:$L$643,4,FALSE)</f>
        <v>0</v>
      </c>
      <c r="F47" s="108">
        <f ca="1">IFERROR(VLOOKUP(B47,'Warehouse B'!$I$2:$L$148,4,FALSE),"0")</f>
        <v>17</v>
      </c>
    </row>
    <row r="48" spans="1:6">
      <c r="A48" t="s">
        <v>297</v>
      </c>
      <c r="B48" s="80" t="s">
        <v>297</v>
      </c>
      <c r="C48" s="82">
        <f t="shared" ca="1" si="0"/>
        <v>4</v>
      </c>
      <c r="D48" s="81">
        <f t="shared" ca="1" si="1"/>
        <v>4</v>
      </c>
      <c r="E48" s="99">
        <f ca="1">VLOOKUP(B48,'Warehouse Inventory'!$I$2:$L$643,4,FALSE)</f>
        <v>4</v>
      </c>
      <c r="F48" s="108" t="str">
        <f>IFERROR(VLOOKUP(B48,'Warehouse B'!$I$2:$L$148,4,FALSE),"0")</f>
        <v>0</v>
      </c>
    </row>
    <row r="49" spans="1:6">
      <c r="A49" t="s">
        <v>276</v>
      </c>
      <c r="B49" s="80" t="s">
        <v>276</v>
      </c>
      <c r="C49" s="82">
        <f t="shared" ca="1" si="0"/>
        <v>79</v>
      </c>
      <c r="D49" s="81">
        <f t="shared" ca="1" si="1"/>
        <v>79</v>
      </c>
      <c r="E49" s="99">
        <f ca="1">VLOOKUP(B49,'Warehouse Inventory'!$I$2:$L$643,4,FALSE)</f>
        <v>79</v>
      </c>
      <c r="F49" s="108" t="str">
        <f>IFERROR(VLOOKUP(B49,'Warehouse B'!$I$2:$L$148,4,FALSE),"0")</f>
        <v>0</v>
      </c>
    </row>
    <row r="50" spans="1:6">
      <c r="A50" t="s">
        <v>299</v>
      </c>
      <c r="B50" s="80" t="s">
        <v>299</v>
      </c>
      <c r="C50" s="82">
        <f t="shared" ca="1" si="0"/>
        <v>17</v>
      </c>
      <c r="D50" s="81">
        <f t="shared" ca="1" si="1"/>
        <v>17</v>
      </c>
      <c r="E50" s="99">
        <f ca="1">VLOOKUP(B50,'Warehouse Inventory'!$I$2:$L$643,4,FALSE)</f>
        <v>17</v>
      </c>
      <c r="F50" s="108" t="str">
        <f>IFERROR(VLOOKUP(B50,'Warehouse B'!$I$2:$L$148,4,FALSE),"0")</f>
        <v>0</v>
      </c>
    </row>
    <row r="51" spans="1:6">
      <c r="A51" t="s">
        <v>300</v>
      </c>
      <c r="B51" s="80" t="s">
        <v>300</v>
      </c>
      <c r="C51" s="82">
        <f t="shared" ca="1" si="0"/>
        <v>0</v>
      </c>
      <c r="D51" s="81">
        <f t="shared" ca="1" si="1"/>
        <v>0</v>
      </c>
      <c r="E51" s="99">
        <f ca="1">VLOOKUP(B51,'Warehouse Inventory'!$I$2:$L$643,4,FALSE)</f>
        <v>0</v>
      </c>
      <c r="F51" s="108" t="str">
        <f>IFERROR(VLOOKUP(B51,'Warehouse B'!$I$2:$L$148,4,FALSE),"0")</f>
        <v>0</v>
      </c>
    </row>
    <row r="52" spans="1:6">
      <c r="A52" t="s">
        <v>301</v>
      </c>
      <c r="B52" s="80" t="s">
        <v>301</v>
      </c>
      <c r="C52" s="82">
        <f t="shared" ca="1" si="0"/>
        <v>0</v>
      </c>
      <c r="D52" s="81">
        <f t="shared" ca="1" si="1"/>
        <v>0</v>
      </c>
      <c r="E52" s="99">
        <f ca="1">VLOOKUP(B52,'Warehouse Inventory'!$I$2:$L$643,4,FALSE)</f>
        <v>0</v>
      </c>
      <c r="F52" s="108" t="str">
        <f>IFERROR(VLOOKUP(B52,'Warehouse B'!$I$2:$L$148,4,FALSE),"0")</f>
        <v>0</v>
      </c>
    </row>
    <row r="53" spans="1:6">
      <c r="A53" t="s">
        <v>302</v>
      </c>
      <c r="B53" s="80" t="s">
        <v>302</v>
      </c>
      <c r="C53" s="82">
        <f t="shared" ca="1" si="0"/>
        <v>3</v>
      </c>
      <c r="D53" s="81">
        <f t="shared" ca="1" si="1"/>
        <v>3</v>
      </c>
      <c r="E53" s="99">
        <f ca="1">VLOOKUP(B53,'Warehouse Inventory'!$I$2:$L$643,4,FALSE)</f>
        <v>3</v>
      </c>
      <c r="F53" s="108" t="str">
        <f>IFERROR(VLOOKUP(B53,'Warehouse B'!$I$2:$L$148,4,FALSE),"0")</f>
        <v>0</v>
      </c>
    </row>
    <row r="54" spans="1:6">
      <c r="A54" t="s">
        <v>303</v>
      </c>
      <c r="B54" s="80" t="s">
        <v>303</v>
      </c>
      <c r="C54" s="82">
        <f t="shared" ca="1" si="0"/>
        <v>0</v>
      </c>
      <c r="D54" s="81">
        <f t="shared" ca="1" si="1"/>
        <v>0</v>
      </c>
      <c r="E54" s="99">
        <f ca="1">VLOOKUP(B54,'Warehouse Inventory'!$I$2:$L$643,4,FALSE)</f>
        <v>0</v>
      </c>
      <c r="F54" s="108" t="str">
        <f>IFERROR(VLOOKUP(B54,'Warehouse B'!$I$2:$L$148,4,FALSE),"0")</f>
        <v>0</v>
      </c>
    </row>
    <row r="55" spans="1:6">
      <c r="A55" t="s">
        <v>304</v>
      </c>
      <c r="B55" s="80" t="s">
        <v>304</v>
      </c>
      <c r="C55" s="82">
        <f t="shared" ca="1" si="0"/>
        <v>7</v>
      </c>
      <c r="D55" s="81">
        <f t="shared" ca="1" si="1"/>
        <v>7</v>
      </c>
      <c r="E55" s="99">
        <f ca="1">VLOOKUP(B55,'Warehouse Inventory'!$I$2:$L$643,4,FALSE)</f>
        <v>7</v>
      </c>
      <c r="F55" s="108" t="str">
        <f>IFERROR(VLOOKUP(B55,'Warehouse B'!$I$2:$L$148,4,FALSE),"0")</f>
        <v>0</v>
      </c>
    </row>
    <row r="56" spans="1:6">
      <c r="A56" t="s">
        <v>305</v>
      </c>
      <c r="B56" s="80" t="s">
        <v>305</v>
      </c>
      <c r="C56" s="82">
        <f t="shared" ca="1" si="0"/>
        <v>0</v>
      </c>
      <c r="D56" s="81">
        <f t="shared" ca="1" si="1"/>
        <v>0</v>
      </c>
      <c r="E56" s="99">
        <f ca="1">VLOOKUP(B56,'Warehouse Inventory'!$I$2:$L$643,4,FALSE)</f>
        <v>0</v>
      </c>
      <c r="F56" s="108" t="str">
        <f>IFERROR(VLOOKUP(B56,'Warehouse B'!$I$2:$L$148,4,FALSE),"0")</f>
        <v>0</v>
      </c>
    </row>
    <row r="57" spans="1:6">
      <c r="A57" t="s">
        <v>9</v>
      </c>
      <c r="B57" s="80" t="s">
        <v>9</v>
      </c>
      <c r="C57" s="82">
        <f t="shared" ca="1" si="0"/>
        <v>0</v>
      </c>
      <c r="D57" s="81">
        <f t="shared" ca="1" si="1"/>
        <v>0</v>
      </c>
      <c r="E57" s="99">
        <f ca="1">VLOOKUP(B57,'Warehouse Inventory'!$I$2:$L$643,4,FALSE)</f>
        <v>0</v>
      </c>
      <c r="F57" s="108" t="str">
        <f>IFERROR(VLOOKUP(B57,'Warehouse B'!$I$2:$L$148,4,FALSE),"0")</f>
        <v>0</v>
      </c>
    </row>
    <row r="58" spans="1:6">
      <c r="A58" t="s">
        <v>277</v>
      </c>
      <c r="B58" s="80" t="s">
        <v>277</v>
      </c>
      <c r="C58" s="82">
        <f t="shared" ca="1" si="0"/>
        <v>1</v>
      </c>
      <c r="D58" s="81">
        <f t="shared" ca="1" si="1"/>
        <v>1</v>
      </c>
      <c r="E58" s="99">
        <f ca="1">VLOOKUP(B58,'Warehouse Inventory'!$I$2:$L$643,4,FALSE)</f>
        <v>1</v>
      </c>
      <c r="F58" s="108" t="str">
        <f>IFERROR(VLOOKUP(B58,'Warehouse B'!$I$2:$L$148,4,FALSE),"0")</f>
        <v>0</v>
      </c>
    </row>
    <row r="59" spans="1:6">
      <c r="A59" t="s">
        <v>306</v>
      </c>
      <c r="B59" s="80" t="s">
        <v>694</v>
      </c>
      <c r="C59" s="82">
        <f t="shared" ca="1" si="0"/>
        <v>21</v>
      </c>
      <c r="D59" s="81">
        <f t="shared" ca="1" si="1"/>
        <v>21</v>
      </c>
      <c r="E59" s="99">
        <f ca="1">VLOOKUP(B59,'Warehouse Inventory'!$I$2:$L$643,4,FALSE)</f>
        <v>0</v>
      </c>
      <c r="F59" s="108">
        <f ca="1">IFERROR(VLOOKUP(B59,'Warehouse B'!$I$2:$L$148,4,FALSE),"0")</f>
        <v>21</v>
      </c>
    </row>
    <row r="60" spans="1:6">
      <c r="A60" t="s">
        <v>77</v>
      </c>
      <c r="B60" s="80" t="s">
        <v>77</v>
      </c>
      <c r="C60" s="82">
        <f t="shared" ca="1" si="0"/>
        <v>39</v>
      </c>
      <c r="D60" s="81">
        <f t="shared" ca="1" si="1"/>
        <v>39</v>
      </c>
      <c r="E60" s="99">
        <f ca="1">VLOOKUP(B60,'Warehouse Inventory'!$I$2:$L$643,4,FALSE)</f>
        <v>2</v>
      </c>
      <c r="F60" s="108">
        <f ca="1">IFERROR(VLOOKUP(B60,'Warehouse B'!$I$2:$L$148,4,FALSE),"0")</f>
        <v>37</v>
      </c>
    </row>
    <row r="61" spans="1:6">
      <c r="A61" t="s">
        <v>711</v>
      </c>
      <c r="B61" s="81" t="s">
        <v>711</v>
      </c>
      <c r="C61" s="82">
        <f t="shared" ca="1" si="0"/>
        <v>0</v>
      </c>
      <c r="D61" s="81">
        <f t="shared" ca="1" si="1"/>
        <v>0</v>
      </c>
      <c r="E61" s="99">
        <f ca="1">VLOOKUP(B61,'Warehouse Inventory'!$I$2:$L$643,4,FALSE)</f>
        <v>0</v>
      </c>
      <c r="F61" s="108" t="str">
        <f>IFERROR(VLOOKUP(B61,'Warehouse B'!$I$2:$L$148,4,FALSE),"0")</f>
        <v>0</v>
      </c>
    </row>
    <row r="62" spans="1:6">
      <c r="A62" t="s">
        <v>712</v>
      </c>
      <c r="B62" s="81" t="s">
        <v>712</v>
      </c>
      <c r="C62" s="82">
        <f t="shared" ca="1" si="0"/>
        <v>0</v>
      </c>
      <c r="D62" s="81">
        <f t="shared" ca="1" si="1"/>
        <v>0</v>
      </c>
      <c r="E62" s="99">
        <f ca="1">VLOOKUP(B62,'Warehouse Inventory'!$I$2:$L$643,4,FALSE)</f>
        <v>0</v>
      </c>
      <c r="F62" s="108" t="str">
        <f>IFERROR(VLOOKUP(B62,'Warehouse B'!$I$2:$L$148,4,FALSE),"0")</f>
        <v>0</v>
      </c>
    </row>
    <row r="63" spans="1:6">
      <c r="A63" s="3" t="s">
        <v>713</v>
      </c>
      <c r="B63" s="80" t="s">
        <v>713</v>
      </c>
      <c r="C63" s="82">
        <f t="shared" ca="1" si="0"/>
        <v>0</v>
      </c>
      <c r="D63" s="81">
        <f t="shared" ca="1" si="1"/>
        <v>0</v>
      </c>
      <c r="E63" s="99">
        <f ca="1">VLOOKUP(B63,'Warehouse Inventory'!$I$2:$L$643,4,FALSE)</f>
        <v>0</v>
      </c>
      <c r="F63" s="108" t="str">
        <f>IFERROR(VLOOKUP(B63,'Warehouse B'!$I$2:$L$148,4,FALSE),"0")</f>
        <v>0</v>
      </c>
    </row>
    <row r="64" spans="1:6">
      <c r="A64" t="s">
        <v>307</v>
      </c>
      <c r="B64" s="80" t="s">
        <v>307</v>
      </c>
      <c r="C64" s="82">
        <f t="shared" ca="1" si="0"/>
        <v>1</v>
      </c>
      <c r="D64" s="81">
        <f t="shared" ca="1" si="1"/>
        <v>1</v>
      </c>
      <c r="E64" s="99">
        <f ca="1">VLOOKUP(B64,'Warehouse Inventory'!$I$2:$L$643,4,FALSE)</f>
        <v>1</v>
      </c>
      <c r="F64" s="108" t="str">
        <f>IFERROR(VLOOKUP(B64,'Warehouse B'!$I$2:$L$148,4,FALSE),"0")</f>
        <v>0</v>
      </c>
    </row>
    <row r="65" spans="1:6">
      <c r="A65" t="s">
        <v>308</v>
      </c>
      <c r="B65" s="80" t="s">
        <v>308</v>
      </c>
      <c r="C65" s="82">
        <f t="shared" ca="1" si="0"/>
        <v>2</v>
      </c>
      <c r="D65" s="81">
        <f t="shared" ca="1" si="1"/>
        <v>2</v>
      </c>
      <c r="E65" s="99">
        <f ca="1">VLOOKUP(B65,'Warehouse Inventory'!$I$2:$L$643,4,FALSE)</f>
        <v>2</v>
      </c>
      <c r="F65" s="108" t="str">
        <f>IFERROR(VLOOKUP(B65,'Warehouse B'!$I$2:$L$148,4,FALSE),"0")</f>
        <v>0</v>
      </c>
    </row>
    <row r="66" spans="1:6">
      <c r="A66" s="3" t="s">
        <v>714</v>
      </c>
      <c r="B66" s="80" t="s">
        <v>714</v>
      </c>
      <c r="C66" s="82">
        <f t="shared" ca="1" si="0"/>
        <v>0</v>
      </c>
      <c r="D66" s="81">
        <f t="shared" ca="1" si="1"/>
        <v>0</v>
      </c>
      <c r="E66" s="99">
        <f ca="1">VLOOKUP(B66,'Warehouse Inventory'!$I$2:$L$643,4,FALSE)</f>
        <v>0</v>
      </c>
      <c r="F66" s="108" t="str">
        <f>IFERROR(VLOOKUP(B66,'Warehouse B'!$I$2:$L$148,4,FALSE),"0")</f>
        <v>0</v>
      </c>
    </row>
    <row r="67" spans="1:6">
      <c r="A67" t="s">
        <v>700</v>
      </c>
      <c r="B67" s="80" t="s">
        <v>700</v>
      </c>
      <c r="C67" s="82">
        <f t="shared" ca="1" si="0"/>
        <v>0</v>
      </c>
      <c r="D67" s="81">
        <f t="shared" ca="1" si="1"/>
        <v>0</v>
      </c>
      <c r="E67" s="99">
        <f ca="1">VLOOKUP(B67,'Warehouse Inventory'!$I$2:$L$643,4,FALSE)</f>
        <v>0</v>
      </c>
      <c r="F67" s="108" t="str">
        <f>IFERROR(VLOOKUP(B67,'Warehouse B'!$I$2:$L$148,4,FALSE),"0")</f>
        <v>0</v>
      </c>
    </row>
    <row r="68" spans="1:6">
      <c r="A68" t="s">
        <v>309</v>
      </c>
      <c r="B68" s="80" t="s">
        <v>309</v>
      </c>
      <c r="C68" s="82">
        <f t="shared" ca="1" si="0"/>
        <v>0</v>
      </c>
      <c r="D68" s="81">
        <f t="shared" ca="1" si="1"/>
        <v>0</v>
      </c>
      <c r="E68" s="99">
        <f ca="1">VLOOKUP(B68,'Warehouse Inventory'!$I$2:$L$643,4,FALSE)</f>
        <v>0</v>
      </c>
      <c r="F68" s="108" t="str">
        <f>IFERROR(VLOOKUP(B68,'Warehouse B'!$I$2:$L$148,4,FALSE),"0")</f>
        <v>0</v>
      </c>
    </row>
    <row r="69" spans="1:6">
      <c r="A69" t="s">
        <v>310</v>
      </c>
      <c r="B69" s="80" t="s">
        <v>310</v>
      </c>
      <c r="C69" s="82">
        <f t="shared" ca="1" si="0"/>
        <v>1</v>
      </c>
      <c r="D69" s="81">
        <f t="shared" ca="1" si="1"/>
        <v>1</v>
      </c>
      <c r="E69" s="99">
        <f ca="1">VLOOKUP(B69,'Warehouse Inventory'!$I$2:$L$643,4,FALSE)</f>
        <v>1</v>
      </c>
      <c r="F69" s="108" t="str">
        <f>IFERROR(VLOOKUP(B69,'Warehouse B'!$I$2:$L$148,4,FALSE),"0")</f>
        <v>0</v>
      </c>
    </row>
    <row r="70" spans="1:6">
      <c r="A70" t="s">
        <v>311</v>
      </c>
      <c r="B70" s="80" t="s">
        <v>311</v>
      </c>
      <c r="C70" s="82">
        <f t="shared" ca="1" si="0"/>
        <v>0</v>
      </c>
      <c r="D70" s="81">
        <f t="shared" ca="1" si="1"/>
        <v>0</v>
      </c>
      <c r="E70" s="99">
        <f ca="1">VLOOKUP(B70,'Warehouse Inventory'!$I$2:$L$643,4,FALSE)</f>
        <v>0</v>
      </c>
      <c r="F70" s="108" t="str">
        <f>IFERROR(VLOOKUP(B70,'Warehouse B'!$I$2:$L$148,4,FALSE),"0")</f>
        <v>0</v>
      </c>
    </row>
    <row r="71" spans="1:6">
      <c r="A71" t="s">
        <v>312</v>
      </c>
      <c r="B71" s="80" t="s">
        <v>312</v>
      </c>
      <c r="C71" s="82">
        <f t="shared" ref="C71:C74" ca="1" si="4">D71</f>
        <v>0</v>
      </c>
      <c r="D71" s="81">
        <f t="shared" ca="1" si="1"/>
        <v>0</v>
      </c>
      <c r="E71" s="99">
        <f ca="1">VLOOKUP(B71,'Warehouse Inventory'!$I$2:$L$643,4,FALSE)</f>
        <v>0</v>
      </c>
      <c r="F71" s="108" t="str">
        <f>IFERROR(VLOOKUP(B71,'Warehouse B'!$I$2:$L$148,4,FALSE),"0")</f>
        <v>0</v>
      </c>
    </row>
    <row r="72" spans="1:6">
      <c r="A72" t="s">
        <v>626</v>
      </c>
      <c r="B72" s="80" t="s">
        <v>313</v>
      </c>
      <c r="C72" s="82">
        <f t="shared" ca="1" si="4"/>
        <v>0</v>
      </c>
      <c r="D72" s="81">
        <f t="shared" ref="D72:D135" ca="1" si="5">E72+F72</f>
        <v>0</v>
      </c>
      <c r="E72" s="99">
        <f ca="1">VLOOKUP(B72,'Warehouse Inventory'!$I$2:$L$643,4,FALSE)</f>
        <v>0</v>
      </c>
      <c r="F72" s="108" t="str">
        <f>IFERROR(VLOOKUP(B72,'Warehouse B'!$I$2:$L$148,4,FALSE),"0")</f>
        <v>0</v>
      </c>
    </row>
    <row r="73" spans="1:6">
      <c r="A73" t="s">
        <v>627</v>
      </c>
      <c r="B73" s="80" t="s">
        <v>314</v>
      </c>
      <c r="C73" s="82">
        <f t="shared" ca="1" si="4"/>
        <v>0</v>
      </c>
      <c r="D73" s="81">
        <f t="shared" ca="1" si="5"/>
        <v>0</v>
      </c>
      <c r="E73" s="99">
        <f ca="1">VLOOKUP(B73,'Warehouse Inventory'!$I$2:$L$643,4,FALSE)</f>
        <v>0</v>
      </c>
      <c r="F73" s="108" t="str">
        <f>IFERROR(VLOOKUP(B73,'Warehouse B'!$I$2:$L$148,4,FALSE),"0")</f>
        <v>0</v>
      </c>
    </row>
    <row r="74" spans="1:6">
      <c r="A74" s="3" t="s">
        <v>706</v>
      </c>
      <c r="B74" s="80" t="s">
        <v>706</v>
      </c>
      <c r="C74" s="82">
        <f t="shared" ca="1" si="4"/>
        <v>4</v>
      </c>
      <c r="D74" s="81">
        <f t="shared" ca="1" si="5"/>
        <v>4</v>
      </c>
      <c r="E74" s="99">
        <f ca="1">VLOOKUP(B74,'Warehouse Inventory'!$I$2:$L$643,4,FALSE)</f>
        <v>4</v>
      </c>
      <c r="F74" s="108" t="str">
        <f>IFERROR(VLOOKUP(B74,'Warehouse B'!$I$2:$L$148,4,FALSE),"0")</f>
        <v>0</v>
      </c>
    </row>
    <row r="75" spans="1:6">
      <c r="A75" t="s">
        <v>315</v>
      </c>
      <c r="B75" s="80" t="s">
        <v>315</v>
      </c>
      <c r="C75" s="82">
        <f ca="1">D75</f>
        <v>0</v>
      </c>
      <c r="D75" s="81">
        <f t="shared" ca="1" si="5"/>
        <v>0</v>
      </c>
      <c r="E75" s="99">
        <f ca="1">VLOOKUP(B75,'Warehouse Inventory'!$I$2:$L$643,4,FALSE)</f>
        <v>0</v>
      </c>
      <c r="F75" s="108" t="str">
        <f>IFERROR(VLOOKUP(B75,'Warehouse B'!$I$2:$L$148,4,FALSE),"0")</f>
        <v>0</v>
      </c>
    </row>
    <row r="76" spans="1:6">
      <c r="A76" s="56" t="s">
        <v>316</v>
      </c>
      <c r="B76" s="80" t="s">
        <v>316</v>
      </c>
      <c r="C76" s="82">
        <f ca="1">VLOOKUP(B76,PARTS!$G$2:$H$434,2,FALSE)</f>
        <v>4</v>
      </c>
      <c r="D76" s="81">
        <f t="shared" ca="1" si="5"/>
        <v>4</v>
      </c>
      <c r="E76" s="99">
        <f ca="1">VLOOKUP(B76,'Warehouse Inventory'!$I$2:$L$643,4,FALSE)</f>
        <v>0</v>
      </c>
      <c r="F76" s="108">
        <f ca="1">IFERROR(VLOOKUP(B76,'Warehouse B'!$I$2:$L$148,4,FALSE),"0")</f>
        <v>4</v>
      </c>
    </row>
    <row r="77" spans="1:6">
      <c r="A77" s="56" t="s">
        <v>316</v>
      </c>
      <c r="B77" s="80" t="s">
        <v>317</v>
      </c>
      <c r="C77" s="82">
        <f ca="1">VLOOKUP(B77,PARTS!$G$2:$H$434,2,FALSE)</f>
        <v>4</v>
      </c>
      <c r="D77" s="81">
        <f t="shared" ca="1" si="5"/>
        <v>0</v>
      </c>
      <c r="E77" s="99">
        <f ca="1">VLOOKUP(B77,'Warehouse Inventory'!$I$2:$L$643,4,FALSE)</f>
        <v>0</v>
      </c>
      <c r="F77" s="108" t="str">
        <f>IFERROR(VLOOKUP(B77,'Warehouse B'!$I$2:$L$148,4,FALSE),"0")</f>
        <v>0</v>
      </c>
    </row>
    <row r="78" spans="1:6" s="23" customFormat="1">
      <c r="A78" s="56" t="s">
        <v>316</v>
      </c>
      <c r="B78" s="80" t="s">
        <v>1</v>
      </c>
      <c r="C78" s="82">
        <f ca="1">VLOOKUP(B78,PARTS!$G$2:$H$434,2,FALSE)</f>
        <v>4</v>
      </c>
      <c r="D78" s="81">
        <f t="shared" ca="1" si="5"/>
        <v>0</v>
      </c>
      <c r="E78" s="99">
        <f ca="1">VLOOKUP(B78,'Warehouse Inventory'!$I$2:$L$643,4,FALSE)</f>
        <v>0</v>
      </c>
      <c r="F78" s="108" t="str">
        <f>IFERROR(VLOOKUP(B78,'Warehouse B'!$I$2:$L$148,4,FALSE),"0")</f>
        <v>0</v>
      </c>
    </row>
    <row r="79" spans="1:6">
      <c r="A79" s="69" t="s">
        <v>318</v>
      </c>
      <c r="B79" s="80" t="s">
        <v>318</v>
      </c>
      <c r="C79" s="82">
        <f ca="1">VLOOKUP(B79,PARTS!$G$2:$H$434,2,FALSE)</f>
        <v>16</v>
      </c>
      <c r="D79" s="81">
        <f t="shared" ca="1" si="5"/>
        <v>0</v>
      </c>
      <c r="E79" s="99">
        <f ca="1">VLOOKUP(B79,'Warehouse Inventory'!$I$2:$L$643,4,FALSE)</f>
        <v>0</v>
      </c>
      <c r="F79" s="108" t="str">
        <f>IFERROR(VLOOKUP(B79,'Warehouse B'!$I$2:$L$148,4,FALSE),"0")</f>
        <v>0</v>
      </c>
    </row>
    <row r="80" spans="1:6" s="23" customFormat="1">
      <c r="A80" s="70" t="s">
        <v>319</v>
      </c>
      <c r="B80" s="80" t="s">
        <v>319</v>
      </c>
      <c r="C80" s="82">
        <f ca="1">VLOOKUP(B80,PARTS!$G$2:$H$434,2,FALSE)</f>
        <v>16</v>
      </c>
      <c r="D80" s="81">
        <f t="shared" ca="1" si="5"/>
        <v>0</v>
      </c>
      <c r="E80" s="99">
        <f ca="1">VLOOKUP(B80,'Warehouse Inventory'!$I$2:$L$643,4,FALSE)</f>
        <v>0</v>
      </c>
      <c r="F80" s="108" t="str">
        <f>IFERROR(VLOOKUP(B80,'Warehouse B'!$I$2:$L$148,4,FALSE),"0")</f>
        <v>0</v>
      </c>
    </row>
    <row r="81" spans="1:6">
      <c r="A81" s="70" t="s">
        <v>320</v>
      </c>
      <c r="B81" s="80" t="s">
        <v>320</v>
      </c>
      <c r="C81" s="82">
        <f ca="1">VLOOKUP(B81,PARTS!$G$2:$H$434,2,FALSE)</f>
        <v>16</v>
      </c>
      <c r="D81" s="81">
        <f t="shared" ca="1" si="5"/>
        <v>0</v>
      </c>
      <c r="E81" s="99">
        <f ca="1">VLOOKUP(B81,'Warehouse Inventory'!$I$2:$L$643,4,FALSE)</f>
        <v>0</v>
      </c>
      <c r="F81" s="108" t="str">
        <f>IFERROR(VLOOKUP(B81,'Warehouse B'!$I$2:$L$148,4,FALSE),"0")</f>
        <v>0</v>
      </c>
    </row>
    <row r="82" spans="1:6" s="23" customFormat="1">
      <c r="A82" s="70" t="s">
        <v>278</v>
      </c>
      <c r="B82" s="80" t="s">
        <v>278</v>
      </c>
      <c r="C82" s="82">
        <f ca="1">VLOOKUP(B82,PARTS!$G$2:$H$434,2,FALSE)</f>
        <v>16</v>
      </c>
      <c r="D82" s="81">
        <f t="shared" ca="1" si="5"/>
        <v>0</v>
      </c>
      <c r="E82" s="99">
        <f ca="1">VLOOKUP(B82,'Warehouse Inventory'!$I$2:$L$643,4,FALSE)</f>
        <v>0</v>
      </c>
      <c r="F82" s="108" t="str">
        <f>IFERROR(VLOOKUP(B82,'Warehouse B'!$I$2:$L$148,4,FALSE),"0")</f>
        <v>0</v>
      </c>
    </row>
    <row r="83" spans="1:6">
      <c r="A83" s="70" t="s">
        <v>63</v>
      </c>
      <c r="B83" s="80" t="s">
        <v>63</v>
      </c>
      <c r="C83" s="82">
        <f ca="1">VLOOKUP(B83,PARTS!$G$2:$H$434,2,FALSE)</f>
        <v>16</v>
      </c>
      <c r="D83" s="81">
        <f t="shared" ca="1" si="5"/>
        <v>16</v>
      </c>
      <c r="E83" s="99">
        <f ca="1">VLOOKUP(B83,'Warehouse Inventory'!$I$2:$L$643,4,FALSE)</f>
        <v>16</v>
      </c>
      <c r="F83" s="108" t="str">
        <f>IFERROR(VLOOKUP(B83,'Warehouse B'!$I$2:$L$148,4,FALSE),"0")</f>
        <v>0</v>
      </c>
    </row>
    <row r="84" spans="1:6">
      <c r="A84" s="70" t="s">
        <v>64</v>
      </c>
      <c r="B84" s="33" t="s">
        <v>64</v>
      </c>
      <c r="C84" s="82">
        <f ca="1">VLOOKUP(B84,PARTS!$G$2:$H$434,2,FALSE)</f>
        <v>16</v>
      </c>
      <c r="D84" s="81">
        <f t="shared" ca="1" si="5"/>
        <v>16</v>
      </c>
      <c r="E84" s="99">
        <f ca="1">VLOOKUP(B84,'Warehouse Inventory'!$I$2:$L$643,4,FALSE)</f>
        <v>16</v>
      </c>
      <c r="F84" s="108" t="str">
        <f>IFERROR(VLOOKUP(B84,'Warehouse B'!$I$2:$L$148,4,FALSE),"0")</f>
        <v>0</v>
      </c>
    </row>
    <row r="85" spans="1:6" s="23" customFormat="1">
      <c r="A85" s="49" t="s">
        <v>321</v>
      </c>
      <c r="B85" s="33" t="s">
        <v>321</v>
      </c>
      <c r="C85" s="82">
        <f ca="1">VLOOKUP(B85,PARTS!$G$2:$H$434,2,FALSE)</f>
        <v>11</v>
      </c>
      <c r="D85" s="81">
        <f t="shared" ca="1" si="5"/>
        <v>9</v>
      </c>
      <c r="E85" s="99">
        <f ca="1">VLOOKUP(B85,'Warehouse Inventory'!$I$2:$L$643,4,FALSE)</f>
        <v>0</v>
      </c>
      <c r="F85" s="108">
        <f ca="1">IFERROR(VLOOKUP(B85,'Warehouse B'!$I$2:$L$148,4,FALSE),"0")</f>
        <v>9</v>
      </c>
    </row>
    <row r="86" spans="1:6" s="23" customFormat="1">
      <c r="A86" s="49" t="s">
        <v>322</v>
      </c>
      <c r="B86" s="33" t="s">
        <v>322</v>
      </c>
      <c r="C86" s="82">
        <f ca="1">VLOOKUP(B86,PARTS!$G$2:$H$434,2,FALSE)</f>
        <v>0</v>
      </c>
      <c r="D86" s="81">
        <f t="shared" ca="1" si="5"/>
        <v>0</v>
      </c>
      <c r="E86" s="99">
        <f ca="1">VLOOKUP(B86,'Warehouse Inventory'!$I$2:$L$643,4,FALSE)</f>
        <v>0</v>
      </c>
      <c r="F86" s="108" t="str">
        <f>IFERROR(VLOOKUP(B86,'Warehouse B'!$I$2:$L$148,4,FALSE),"0")</f>
        <v>0</v>
      </c>
    </row>
    <row r="87" spans="1:6" s="23" customFormat="1">
      <c r="A87" s="49" t="s">
        <v>321</v>
      </c>
      <c r="B87" s="33" t="s">
        <v>323</v>
      </c>
      <c r="C87" s="82">
        <f ca="1">VLOOKUP(B87,PARTS!$G$2:$H$434,2,FALSE)</f>
        <v>11</v>
      </c>
      <c r="D87" s="81">
        <f t="shared" ca="1" si="5"/>
        <v>0</v>
      </c>
      <c r="E87" s="99">
        <f ca="1">VLOOKUP(B87,'Warehouse Inventory'!$I$2:$L$643,4,FALSE)</f>
        <v>0</v>
      </c>
      <c r="F87" s="108" t="str">
        <f>IFERROR(VLOOKUP(B87,'Warehouse B'!$I$2:$L$148,4,FALSE),"0")</f>
        <v>0</v>
      </c>
    </row>
    <row r="88" spans="1:6">
      <c r="A88" s="49" t="s">
        <v>322</v>
      </c>
      <c r="B88" s="33" t="s">
        <v>324</v>
      </c>
      <c r="C88" s="82">
        <f ca="1">VLOOKUP(B88,PARTS!$G$2:$H$434,2,FALSE)</f>
        <v>0</v>
      </c>
      <c r="D88" s="81">
        <f t="shared" ca="1" si="5"/>
        <v>0</v>
      </c>
      <c r="E88" s="99">
        <f ca="1">VLOOKUP(B88,'Warehouse Inventory'!$I$2:$L$643,4,FALSE)</f>
        <v>0</v>
      </c>
      <c r="F88" s="108" t="str">
        <f>IFERROR(VLOOKUP(B88,'Warehouse B'!$I$2:$L$148,4,FALSE),"0")</f>
        <v>0</v>
      </c>
    </row>
    <row r="89" spans="1:6">
      <c r="A89" s="49" t="s">
        <v>321</v>
      </c>
      <c r="B89" s="33" t="s">
        <v>325</v>
      </c>
      <c r="C89" s="82">
        <f ca="1">VLOOKUP(B89,PARTS!$G$2:$H$434,2,FALSE)</f>
        <v>11</v>
      </c>
      <c r="D89" s="81">
        <f t="shared" ca="1" si="5"/>
        <v>0</v>
      </c>
      <c r="E89" s="99">
        <f ca="1">VLOOKUP(B89,'Warehouse Inventory'!$I$2:$L$643,4,FALSE)</f>
        <v>0</v>
      </c>
      <c r="F89" s="108" t="str">
        <f>IFERROR(VLOOKUP(B89,'Warehouse B'!$I$2:$L$148,4,FALSE),"0")</f>
        <v>0</v>
      </c>
    </row>
    <row r="90" spans="1:6">
      <c r="A90" s="49" t="s">
        <v>322</v>
      </c>
      <c r="B90" s="33" t="s">
        <v>326</v>
      </c>
      <c r="C90" s="82">
        <f ca="1">VLOOKUP(B90,PARTS!$G$2:$H$434,2,FALSE)</f>
        <v>0</v>
      </c>
      <c r="D90" s="81">
        <f t="shared" ca="1" si="5"/>
        <v>0</v>
      </c>
      <c r="E90" s="99">
        <f ca="1">VLOOKUP(B90,'Warehouse Inventory'!$I$2:$L$643,4,FALSE)</f>
        <v>0</v>
      </c>
      <c r="F90" s="108" t="str">
        <f>IFERROR(VLOOKUP(B90,'Warehouse B'!$I$2:$L$148,4,FALSE),"0")</f>
        <v>0</v>
      </c>
    </row>
    <row r="91" spans="1:6">
      <c r="A91" s="10" t="s">
        <v>327</v>
      </c>
      <c r="B91" s="33" t="s">
        <v>327</v>
      </c>
      <c r="C91" s="82">
        <f ca="1">D91</f>
        <v>0</v>
      </c>
      <c r="D91" s="81">
        <f t="shared" ca="1" si="5"/>
        <v>0</v>
      </c>
      <c r="E91" s="99">
        <f ca="1">VLOOKUP(B91,'Warehouse Inventory'!$I$2:$L$643,4,FALSE)</f>
        <v>0</v>
      </c>
      <c r="F91" s="108" t="str">
        <f>IFERROR(VLOOKUP(B91,'Warehouse B'!$I$2:$L$148,4,FALSE),"0")</f>
        <v>0</v>
      </c>
    </row>
    <row r="92" spans="1:6">
      <c r="A92" s="10" t="s">
        <v>328</v>
      </c>
      <c r="B92" s="33" t="s">
        <v>328</v>
      </c>
      <c r="C92" s="82">
        <f ca="1">D92</f>
        <v>0</v>
      </c>
      <c r="D92" s="81">
        <f t="shared" ca="1" si="5"/>
        <v>0</v>
      </c>
      <c r="E92" s="99">
        <f ca="1">VLOOKUP(B92,'Warehouse Inventory'!$I$2:$L$643,4,FALSE)</f>
        <v>0</v>
      </c>
      <c r="F92" s="108" t="str">
        <f>IFERROR(VLOOKUP(B92,'Warehouse B'!$I$2:$L$148,4,FALSE),"0")</f>
        <v>0</v>
      </c>
    </row>
    <row r="93" spans="1:6">
      <c r="A93" s="52" t="s">
        <v>690</v>
      </c>
      <c r="B93" s="33" t="s">
        <v>690</v>
      </c>
      <c r="C93" s="82">
        <f ca="1">VLOOKUP(B93,PARTS!$G$2:$H$434,2,FALSE)</f>
        <v>45</v>
      </c>
      <c r="D93" s="81">
        <f t="shared" ca="1" si="5"/>
        <v>45</v>
      </c>
      <c r="E93" s="99">
        <f ca="1">VLOOKUP(B93,'Warehouse Inventory'!$I$2:$L$643,4,FALSE)</f>
        <v>45</v>
      </c>
      <c r="F93" s="108">
        <f ca="1">IFERROR(VLOOKUP(B93,'Warehouse B'!$I$2:$L$148,4,FALSE),"0")</f>
        <v>0</v>
      </c>
    </row>
    <row r="94" spans="1:6">
      <c r="A94" s="52" t="s">
        <v>690</v>
      </c>
      <c r="B94" s="33" t="s">
        <v>329</v>
      </c>
      <c r="C94" s="82">
        <f ca="1">VLOOKUP(B94,PARTS!$G$2:$H$434,2,FALSE)</f>
        <v>0</v>
      </c>
      <c r="D94" s="81">
        <f t="shared" ca="1" si="5"/>
        <v>0</v>
      </c>
      <c r="E94" s="99">
        <f ca="1">VLOOKUP(B94,'Warehouse Inventory'!$I$2:$L$643,4,FALSE)</f>
        <v>0</v>
      </c>
      <c r="F94" s="108">
        <f ca="1">IFERROR(VLOOKUP(B94,'Warehouse B'!$I$2:$L$148,4,FALSE),"0")</f>
        <v>0</v>
      </c>
    </row>
    <row r="95" spans="1:6">
      <c r="A95" s="52" t="s">
        <v>690</v>
      </c>
      <c r="B95" s="33" t="s">
        <v>330</v>
      </c>
      <c r="C95" s="82">
        <f ca="1">VLOOKUP(B95,PARTS!$G$2:$H$434,2,FALSE)</f>
        <v>173</v>
      </c>
      <c r="D95" s="81">
        <f t="shared" ca="1" si="5"/>
        <v>128</v>
      </c>
      <c r="E95" s="99">
        <f ca="1">VLOOKUP(B95,'Warehouse Inventory'!$I$2:$L$643,4,FALSE)</f>
        <v>105</v>
      </c>
      <c r="F95" s="108">
        <f ca="1">IFERROR(VLOOKUP(B95,'Warehouse B'!$I$2:$L$148,4,FALSE),"0")</f>
        <v>23</v>
      </c>
    </row>
    <row r="96" spans="1:6">
      <c r="A96" s="10" t="s">
        <v>50</v>
      </c>
      <c r="B96" s="33" t="s">
        <v>50</v>
      </c>
      <c r="C96" s="82">
        <f ca="1">D96</f>
        <v>78</v>
      </c>
      <c r="D96" s="81">
        <f t="shared" ca="1" si="5"/>
        <v>78</v>
      </c>
      <c r="E96" s="99">
        <f ca="1">VLOOKUP(B96,'Warehouse Inventory'!$I$2:$L$643,4,FALSE)</f>
        <v>78</v>
      </c>
      <c r="F96" s="108" t="str">
        <f>IFERROR(VLOOKUP(B96,'Warehouse B'!$I$2:$L$148,4,FALSE),"0")</f>
        <v>0</v>
      </c>
    </row>
    <row r="97" spans="1:6">
      <c r="A97" s="10" t="s">
        <v>51</v>
      </c>
      <c r="B97" s="33" t="s">
        <v>51</v>
      </c>
      <c r="C97" s="82">
        <f t="shared" ref="C97:C98" ca="1" si="6">D97</f>
        <v>0</v>
      </c>
      <c r="D97" s="81">
        <f t="shared" ca="1" si="5"/>
        <v>0</v>
      </c>
      <c r="E97" s="99">
        <f ca="1">VLOOKUP(B97,'Warehouse Inventory'!$I$2:$L$643,4,FALSE)</f>
        <v>0</v>
      </c>
      <c r="F97" s="108" t="str">
        <f>IFERROR(VLOOKUP(B97,'Warehouse B'!$I$2:$L$148,4,FALSE),"0")</f>
        <v>0</v>
      </c>
    </row>
    <row r="98" spans="1:6">
      <c r="A98" s="67" t="s">
        <v>52</v>
      </c>
      <c r="B98" s="80" t="s">
        <v>52</v>
      </c>
      <c r="C98" s="82">
        <f t="shared" ca="1" si="6"/>
        <v>58</v>
      </c>
      <c r="D98" s="81">
        <f t="shared" ca="1" si="5"/>
        <v>58</v>
      </c>
      <c r="E98" s="99">
        <f ca="1">VLOOKUP(B98,'Warehouse Inventory'!$I$2:$L$643,4,FALSE)</f>
        <v>58</v>
      </c>
      <c r="F98" s="108" t="str">
        <f>IFERROR(VLOOKUP(B98,'Warehouse B'!$I$2:$L$148,4,FALSE),"0")</f>
        <v>0</v>
      </c>
    </row>
    <row r="99" spans="1:6">
      <c r="A99" s="53" t="s">
        <v>625</v>
      </c>
      <c r="B99" s="80" t="s">
        <v>78</v>
      </c>
      <c r="C99" s="82">
        <f ca="1">VLOOKUP(B99,PARTS!$G$2:$H$434,2,FALSE)</f>
        <v>99</v>
      </c>
      <c r="D99" s="81">
        <f t="shared" ca="1" si="5"/>
        <v>0</v>
      </c>
      <c r="E99" s="99">
        <f ca="1">VLOOKUP(B99,'Warehouse Inventory'!$I$2:$L$643,4,FALSE)</f>
        <v>0</v>
      </c>
      <c r="F99" s="108" t="str">
        <f>IFERROR(VLOOKUP(B99,'Warehouse B'!$I$2:$L$148,4,FALSE),"0")</f>
        <v>0</v>
      </c>
    </row>
    <row r="100" spans="1:6">
      <c r="A100" s="53" t="s">
        <v>625</v>
      </c>
      <c r="B100" s="80" t="s">
        <v>79</v>
      </c>
      <c r="C100" s="82">
        <f ca="1">VLOOKUP(B100,PARTS!$G$2:$H$434,2,FALSE)</f>
        <v>99</v>
      </c>
      <c r="D100" s="81">
        <f t="shared" ca="1" si="5"/>
        <v>99</v>
      </c>
      <c r="E100" s="99">
        <f ca="1">VLOOKUP(B100,'Warehouse Inventory'!$I$2:$L$643,4,FALSE)</f>
        <v>99</v>
      </c>
      <c r="F100" s="108" t="str">
        <f>IFERROR(VLOOKUP(B100,'Warehouse B'!$I$2:$L$148,4,FALSE),"0")</f>
        <v>0</v>
      </c>
    </row>
    <row r="101" spans="1:6">
      <c r="A101" s="55" t="s">
        <v>614</v>
      </c>
      <c r="B101" s="80" t="s">
        <v>80</v>
      </c>
      <c r="C101" s="82">
        <f ca="1">VLOOKUP(B101,PARTS!$G$2:$H$434,2,FALSE)</f>
        <v>5</v>
      </c>
      <c r="D101" s="81">
        <f t="shared" ca="1" si="5"/>
        <v>5</v>
      </c>
      <c r="E101" s="99">
        <f ca="1">VLOOKUP(B101,'Warehouse Inventory'!$I$2:$L$643,4,FALSE)</f>
        <v>0</v>
      </c>
      <c r="F101" s="108">
        <f ca="1">IFERROR(VLOOKUP(B101,'Warehouse B'!$I$2:$L$148,4,FALSE),"0")</f>
        <v>5</v>
      </c>
    </row>
    <row r="102" spans="1:6">
      <c r="A102" s="55" t="s">
        <v>614</v>
      </c>
      <c r="B102" s="80" t="s">
        <v>10</v>
      </c>
      <c r="C102" s="82">
        <f ca="1">VLOOKUP(B102,PARTS!$G$2:$H$434,2,FALSE)</f>
        <v>0</v>
      </c>
      <c r="D102" s="81">
        <f t="shared" ca="1" si="5"/>
        <v>0</v>
      </c>
      <c r="E102" s="99">
        <f ca="1">VLOOKUP(B102,'Warehouse Inventory'!$I$2:$L$643,4,FALSE)</f>
        <v>0</v>
      </c>
      <c r="F102" s="108" t="str">
        <f>IFERROR(VLOOKUP(B102,'Warehouse B'!$I$2:$L$148,4,FALSE),"0")</f>
        <v>0</v>
      </c>
    </row>
    <row r="103" spans="1:6">
      <c r="A103" s="54" t="s">
        <v>628</v>
      </c>
      <c r="B103" s="80" t="s">
        <v>81</v>
      </c>
      <c r="C103" s="82">
        <f ca="1">VLOOKUP(B103,PARTS!$G$2:$H$434,2,FALSE)</f>
        <v>10</v>
      </c>
      <c r="D103" s="81">
        <f t="shared" ca="1" si="5"/>
        <v>0</v>
      </c>
      <c r="E103" s="99">
        <f ca="1">VLOOKUP(B103,'Warehouse Inventory'!$I$2:$L$643,4,FALSE)</f>
        <v>0</v>
      </c>
      <c r="F103" s="108" t="str">
        <f>IFERROR(VLOOKUP(B103,'Warehouse B'!$I$2:$L$148,4,FALSE),"0")</f>
        <v>0</v>
      </c>
    </row>
    <row r="104" spans="1:6">
      <c r="A104" s="54" t="s">
        <v>628</v>
      </c>
      <c r="B104" s="80" t="s">
        <v>679</v>
      </c>
      <c r="C104" s="82">
        <f ca="1">VLOOKUP(B104,PARTS!$G$2:$H$434,2,FALSE)</f>
        <v>10</v>
      </c>
      <c r="D104" s="81">
        <f t="shared" ca="1" si="5"/>
        <v>10</v>
      </c>
      <c r="E104" s="99">
        <f ca="1">VLOOKUP(B104,'Warehouse Inventory'!$I$2:$L$643,4,FALSE)</f>
        <v>0</v>
      </c>
      <c r="F104" s="108">
        <f ca="1">IFERROR(VLOOKUP(B104,'Warehouse B'!$I$2:$L$148,4,FALSE),"0")</f>
        <v>10</v>
      </c>
    </row>
    <row r="105" spans="1:6">
      <c r="A105" s="10" t="s">
        <v>331</v>
      </c>
      <c r="B105" s="80" t="s">
        <v>331</v>
      </c>
      <c r="C105" s="82">
        <f ca="1">D105</f>
        <v>0</v>
      </c>
      <c r="D105" s="81">
        <f t="shared" ca="1" si="5"/>
        <v>0</v>
      </c>
      <c r="E105" s="99">
        <f ca="1">VLOOKUP(B105,'Warehouse Inventory'!$I$2:$L$643,4,FALSE)</f>
        <v>0</v>
      </c>
      <c r="F105" s="108" t="str">
        <f>IFERROR(VLOOKUP(B105,'Warehouse B'!$I$2:$L$148,4,FALSE),"0")</f>
        <v>0</v>
      </c>
    </row>
    <row r="106" spans="1:6">
      <c r="A106" s="10" t="s">
        <v>696</v>
      </c>
      <c r="B106" s="80" t="s">
        <v>696</v>
      </c>
      <c r="C106" s="82">
        <f t="shared" ref="C106:C112" ca="1" si="7">D106</f>
        <v>0</v>
      </c>
      <c r="D106" s="81">
        <f t="shared" ca="1" si="5"/>
        <v>0</v>
      </c>
      <c r="E106" s="99">
        <f ca="1">VLOOKUP(B106,'Warehouse Inventory'!$I$2:$L$643,4,FALSE)</f>
        <v>0</v>
      </c>
      <c r="F106" s="108" t="str">
        <f>IFERROR(VLOOKUP(B106,'Warehouse B'!$I$2:$L$148,4,FALSE),"0")</f>
        <v>0</v>
      </c>
    </row>
    <row r="107" spans="1:6" s="22" customFormat="1">
      <c r="A107" s="10" t="s">
        <v>11</v>
      </c>
      <c r="B107" s="80" t="s">
        <v>11</v>
      </c>
      <c r="C107" s="82">
        <f t="shared" ca="1" si="7"/>
        <v>92</v>
      </c>
      <c r="D107" s="81">
        <f t="shared" ca="1" si="5"/>
        <v>92</v>
      </c>
      <c r="E107" s="99">
        <f ca="1">VLOOKUP(B107,'Warehouse Inventory'!$I$2:$L$643,4,FALSE)</f>
        <v>48</v>
      </c>
      <c r="F107" s="108">
        <f ca="1">IFERROR(VLOOKUP(B107,'Warehouse B'!$I$2:$L$148,4,FALSE),"0")</f>
        <v>44</v>
      </c>
    </row>
    <row r="108" spans="1:6" s="22" customFormat="1">
      <c r="A108" t="s">
        <v>332</v>
      </c>
      <c r="B108" s="80" t="s">
        <v>332</v>
      </c>
      <c r="C108" s="82">
        <f t="shared" ca="1" si="7"/>
        <v>3</v>
      </c>
      <c r="D108" s="81">
        <f t="shared" ca="1" si="5"/>
        <v>3</v>
      </c>
      <c r="E108" s="99">
        <f ca="1">VLOOKUP(B108,'Warehouse Inventory'!$I$2:$L$643,4,FALSE)</f>
        <v>3</v>
      </c>
      <c r="F108" s="108" t="str">
        <f>IFERROR(VLOOKUP(B108,'Warehouse B'!$I$2:$L$148,4,FALSE),"0")</f>
        <v>0</v>
      </c>
    </row>
    <row r="109" spans="1:6" s="22" customFormat="1">
      <c r="A109" t="s">
        <v>82</v>
      </c>
      <c r="B109" s="80" t="s">
        <v>82</v>
      </c>
      <c r="C109" s="82">
        <f t="shared" ca="1" si="7"/>
        <v>0</v>
      </c>
      <c r="D109" s="81">
        <f t="shared" ca="1" si="5"/>
        <v>0</v>
      </c>
      <c r="E109" s="99">
        <f ca="1">VLOOKUP(B109,'Warehouse Inventory'!$I$2:$L$643,4,FALSE)</f>
        <v>0</v>
      </c>
      <c r="F109" s="108">
        <f ca="1">IFERROR(VLOOKUP(B109,'Warehouse B'!$I$2:$L$148,4,FALSE),"0")</f>
        <v>0</v>
      </c>
    </row>
    <row r="110" spans="1:6" s="22" customFormat="1">
      <c r="A110" t="s">
        <v>333</v>
      </c>
      <c r="B110" s="80" t="s">
        <v>333</v>
      </c>
      <c r="C110" s="82">
        <f t="shared" ca="1" si="7"/>
        <v>1</v>
      </c>
      <c r="D110" s="81">
        <f t="shared" ca="1" si="5"/>
        <v>1</v>
      </c>
      <c r="E110" s="99">
        <f ca="1">VLOOKUP(B110,'Warehouse Inventory'!$I$2:$L$643,4,FALSE)</f>
        <v>1</v>
      </c>
      <c r="F110" s="108" t="str">
        <f>IFERROR(VLOOKUP(B110,'Warehouse B'!$I$2:$L$148,4,FALSE),"0")</f>
        <v>0</v>
      </c>
    </row>
    <row r="111" spans="1:6">
      <c r="A111" t="s">
        <v>25</v>
      </c>
      <c r="B111" s="80" t="s">
        <v>25</v>
      </c>
      <c r="C111" s="82">
        <f t="shared" ca="1" si="7"/>
        <v>0</v>
      </c>
      <c r="D111" s="81">
        <f t="shared" ca="1" si="5"/>
        <v>0</v>
      </c>
      <c r="E111" s="99">
        <f ca="1">VLOOKUP(B111,'Warehouse Inventory'!$I$2:$L$643,4,FALSE)</f>
        <v>0</v>
      </c>
      <c r="F111" s="108">
        <f ca="1">IFERROR(VLOOKUP(B111,'Warehouse B'!$I$2:$L$148,4,FALSE),"0")</f>
        <v>0</v>
      </c>
    </row>
    <row r="112" spans="1:6">
      <c r="A112" t="s">
        <v>66</v>
      </c>
      <c r="B112" s="80" t="s">
        <v>66</v>
      </c>
      <c r="C112" s="82">
        <f t="shared" ca="1" si="7"/>
        <v>10</v>
      </c>
      <c r="D112" s="81">
        <f t="shared" ca="1" si="5"/>
        <v>10</v>
      </c>
      <c r="E112" s="99">
        <f ca="1">VLOOKUP(B112,'Warehouse Inventory'!$I$2:$L$643,4,FALSE)</f>
        <v>10</v>
      </c>
      <c r="F112" s="108" t="str">
        <f>IFERROR(VLOOKUP(B112,'Warehouse B'!$I$2:$L$148,4,FALSE),"0")</f>
        <v>0</v>
      </c>
    </row>
    <row r="113" spans="1:6">
      <c r="A113" s="58" t="s">
        <v>83</v>
      </c>
      <c r="B113" s="80" t="s">
        <v>83</v>
      </c>
      <c r="C113" s="82">
        <f ca="1">VLOOKUP(B113,PARTS!$G$2:$H$434,2,FALSE)</f>
        <v>0</v>
      </c>
      <c r="D113" s="81">
        <f t="shared" ca="1" si="5"/>
        <v>0</v>
      </c>
      <c r="E113" s="99">
        <f ca="1">VLOOKUP(B113,'Warehouse Inventory'!$I$2:$L$643,4,FALSE)</f>
        <v>0</v>
      </c>
      <c r="F113" s="108" t="str">
        <f>IFERROR(VLOOKUP(B113,'Warehouse B'!$I$2:$L$148,4,FALSE),"0")</f>
        <v>0</v>
      </c>
    </row>
    <row r="114" spans="1:6">
      <c r="A114" s="58" t="s">
        <v>84</v>
      </c>
      <c r="B114" s="80" t="s">
        <v>84</v>
      </c>
      <c r="C114" s="82">
        <f ca="1">VLOOKUP(B114,PARTS!$G$2:$H$434,2,FALSE)</f>
        <v>0</v>
      </c>
      <c r="D114" s="81">
        <f t="shared" ca="1" si="5"/>
        <v>0</v>
      </c>
      <c r="E114" s="99">
        <f ca="1">VLOOKUP(B114,'Warehouse Inventory'!$I$2:$L$643,4,FALSE)</f>
        <v>0</v>
      </c>
      <c r="F114" s="108">
        <f ca="1">IFERROR(VLOOKUP(B114,'Warehouse B'!$I$2:$L$148,4,FALSE),"0")</f>
        <v>0</v>
      </c>
    </row>
    <row r="115" spans="1:6">
      <c r="A115" s="58" t="s">
        <v>334</v>
      </c>
      <c r="B115" s="80" t="s">
        <v>334</v>
      </c>
      <c r="C115" s="82">
        <f ca="1">VLOOKUP(B115,PARTS!$G$2:$H$434,2,FALSE)</f>
        <v>1</v>
      </c>
      <c r="D115" s="81">
        <f t="shared" ca="1" si="5"/>
        <v>1</v>
      </c>
      <c r="E115" s="99">
        <f ca="1">VLOOKUP(B115,'Warehouse Inventory'!$I$2:$L$643,4,FALSE)</f>
        <v>0</v>
      </c>
      <c r="F115" s="108">
        <f ca="1">IFERROR(VLOOKUP(B115,'Warehouse B'!$I$2:$L$148,4,FALSE),"0")</f>
        <v>1</v>
      </c>
    </row>
    <row r="116" spans="1:6">
      <c r="A116" s="58" t="s">
        <v>335</v>
      </c>
      <c r="B116" s="80" t="s">
        <v>335</v>
      </c>
      <c r="C116" s="82">
        <f ca="1">VLOOKUP(B116,PARTS!$G$2:$H$434,2,FALSE)</f>
        <v>16</v>
      </c>
      <c r="D116" s="81">
        <f t="shared" ca="1" si="5"/>
        <v>16</v>
      </c>
      <c r="E116" s="99">
        <f ca="1">VLOOKUP(B116,'Warehouse Inventory'!$I$2:$L$643,4,FALSE)</f>
        <v>16</v>
      </c>
      <c r="F116" s="108" t="str">
        <f>IFERROR(VLOOKUP(B116,'Warehouse B'!$I$2:$L$148,4,FALSE),"0")</f>
        <v>0</v>
      </c>
    </row>
    <row r="117" spans="1:6">
      <c r="A117" s="57" t="s">
        <v>336</v>
      </c>
      <c r="B117" s="80" t="s">
        <v>336</v>
      </c>
      <c r="C117" s="82">
        <f ca="1">VLOOKUP(B117,PARTS!$G$2:$H$434,2,FALSE)</f>
        <v>28.799999999999997</v>
      </c>
      <c r="D117" s="81">
        <f t="shared" ca="1" si="5"/>
        <v>0</v>
      </c>
      <c r="E117" s="99">
        <f ca="1">VLOOKUP(B117,'Warehouse Inventory'!$I$2:$L$643,4,FALSE)</f>
        <v>0</v>
      </c>
      <c r="F117" s="108" t="str">
        <f>IFERROR(VLOOKUP(B117,'Warehouse B'!$I$2:$L$148,4,FALSE),"0")</f>
        <v>0</v>
      </c>
    </row>
    <row r="118" spans="1:6">
      <c r="A118" s="57" t="s">
        <v>336</v>
      </c>
      <c r="B118" s="80" t="s">
        <v>85</v>
      </c>
      <c r="C118" s="82">
        <f ca="1">VLOOKUP(B118,PARTS!$G$2:$H$434,2,FALSE)</f>
        <v>14</v>
      </c>
      <c r="D118" s="81">
        <f t="shared" ca="1" si="5"/>
        <v>0</v>
      </c>
      <c r="E118" s="99">
        <f ca="1">VLOOKUP(B118,'Warehouse Inventory'!$I$2:$L$643,4,FALSE)</f>
        <v>0</v>
      </c>
      <c r="F118" s="108" t="str">
        <f>IFERROR(VLOOKUP(B118,'Warehouse B'!$I$2:$L$148,4,FALSE),"0")</f>
        <v>0</v>
      </c>
    </row>
    <row r="119" spans="1:6" s="23" customFormat="1">
      <c r="A119" s="57" t="s">
        <v>336</v>
      </c>
      <c r="B119" s="80" t="s">
        <v>86</v>
      </c>
      <c r="C119" s="82">
        <f ca="1">VLOOKUP(B119,PARTS!$G$2:$H$434,2,FALSE)</f>
        <v>7</v>
      </c>
      <c r="D119" s="81">
        <f t="shared" ca="1" si="5"/>
        <v>0</v>
      </c>
      <c r="E119" s="99">
        <f ca="1">VLOOKUP(B119,'Warehouse Inventory'!$I$2:$L$643,4,FALSE)</f>
        <v>0</v>
      </c>
      <c r="F119" s="108" t="str">
        <f>IFERROR(VLOOKUP(B119,'Warehouse B'!$I$2:$L$148,4,FALSE),"0")</f>
        <v>0</v>
      </c>
    </row>
    <row r="120" spans="1:6" s="23" customFormat="1">
      <c r="A120" s="57" t="s">
        <v>336</v>
      </c>
      <c r="B120" s="80" t="s">
        <v>87</v>
      </c>
      <c r="C120" s="82">
        <f ca="1">VLOOKUP(B120,PARTS!$G$2:$H$434,2,FALSE)</f>
        <v>4</v>
      </c>
      <c r="D120" s="81">
        <f t="shared" ca="1" si="5"/>
        <v>4.8</v>
      </c>
      <c r="E120" s="99">
        <f ca="1">VLOOKUP(B120,'Warehouse Inventory'!$I$2:$L$643,4,FALSE)</f>
        <v>0</v>
      </c>
      <c r="F120" s="108">
        <f ca="1">IFERROR(VLOOKUP(B120,'Warehouse B'!$I$2:$L$148,4,FALSE),"0")</f>
        <v>4.8</v>
      </c>
    </row>
    <row r="121" spans="1:6">
      <c r="A121" s="56" t="s">
        <v>337</v>
      </c>
      <c r="B121" s="80" t="s">
        <v>337</v>
      </c>
      <c r="C121" s="82">
        <f ca="1">VLOOKUP(B121,PARTS!$G$2:$H$434,2,FALSE)</f>
        <v>0</v>
      </c>
      <c r="D121" s="81">
        <f t="shared" ca="1" si="5"/>
        <v>0</v>
      </c>
      <c r="E121" s="99">
        <f ca="1">VLOOKUP(B121,'Warehouse Inventory'!$I$2:$L$643,4,FALSE)</f>
        <v>0</v>
      </c>
      <c r="F121" s="108" t="str">
        <f>IFERROR(VLOOKUP(B121,'Warehouse B'!$I$2:$L$148,4,FALSE),"0")</f>
        <v>0</v>
      </c>
    </row>
    <row r="122" spans="1:6">
      <c r="A122" s="56" t="s">
        <v>337</v>
      </c>
      <c r="B122" s="80" t="s">
        <v>88</v>
      </c>
      <c r="C122" s="82">
        <f ca="1">VLOOKUP(B122,PARTS!$G$2:$H$434,2,FALSE)</f>
        <v>0</v>
      </c>
      <c r="D122" s="81">
        <f t="shared" ca="1" si="5"/>
        <v>0</v>
      </c>
      <c r="E122" s="99">
        <f ca="1">VLOOKUP(B122,'Warehouse Inventory'!$I$2:$L$643,4,FALSE)</f>
        <v>0</v>
      </c>
      <c r="F122" s="108" t="str">
        <f>IFERROR(VLOOKUP(B122,'Warehouse B'!$I$2:$L$148,4,FALSE),"0")</f>
        <v>0</v>
      </c>
    </row>
    <row r="123" spans="1:6">
      <c r="A123" s="56" t="s">
        <v>337</v>
      </c>
      <c r="B123" s="80" t="s">
        <v>89</v>
      </c>
      <c r="C123" s="82">
        <f ca="1">VLOOKUP(B123,PARTS!$G$2:$H$434,2,FALSE)</f>
        <v>0</v>
      </c>
      <c r="D123" s="81">
        <f t="shared" ca="1" si="5"/>
        <v>0</v>
      </c>
      <c r="E123" s="99">
        <f ca="1">VLOOKUP(B123,'Warehouse Inventory'!$I$2:$L$643,4,FALSE)</f>
        <v>0</v>
      </c>
      <c r="F123" s="108" t="str">
        <f>IFERROR(VLOOKUP(B123,'Warehouse B'!$I$2:$L$148,4,FALSE),"0")</f>
        <v>0</v>
      </c>
    </row>
    <row r="124" spans="1:6">
      <c r="A124" s="56" t="s">
        <v>337</v>
      </c>
      <c r="B124" s="80" t="s">
        <v>90</v>
      </c>
      <c r="C124" s="82">
        <f ca="1">VLOOKUP(B124,PARTS!$G$2:$H$434,2,FALSE)</f>
        <v>0</v>
      </c>
      <c r="D124" s="81">
        <f t="shared" ca="1" si="5"/>
        <v>0</v>
      </c>
      <c r="E124" s="99">
        <f ca="1">VLOOKUP(B124,'Warehouse Inventory'!$I$2:$L$643,4,FALSE)</f>
        <v>0</v>
      </c>
      <c r="F124" s="108" t="str">
        <f>IFERROR(VLOOKUP(B124,'Warehouse B'!$I$2:$L$148,4,FALSE),"0")</f>
        <v>0</v>
      </c>
    </row>
    <row r="125" spans="1:6">
      <c r="A125" s="59" t="s">
        <v>91</v>
      </c>
      <c r="B125" s="24" t="s">
        <v>91</v>
      </c>
      <c r="C125" s="82">
        <f ca="1">VLOOKUP(B125,PARTS!$G$2:$H$434,2,FALSE)</f>
        <v>0</v>
      </c>
      <c r="D125" s="81">
        <f t="shared" ca="1" si="5"/>
        <v>0</v>
      </c>
      <c r="E125" s="99">
        <f ca="1">VLOOKUP(B125,'Warehouse Inventory'!$I$2:$L$643,4,FALSE)</f>
        <v>0</v>
      </c>
      <c r="F125" s="108" t="str">
        <f>IFERROR(VLOOKUP(B125,'Warehouse B'!$I$2:$L$148,4,FALSE),"0")</f>
        <v>0</v>
      </c>
    </row>
    <row r="126" spans="1:6">
      <c r="A126" s="59" t="s">
        <v>91</v>
      </c>
      <c r="B126" s="24" t="s">
        <v>92</v>
      </c>
      <c r="C126" s="82">
        <f ca="1">VLOOKUP(B126,PARTS!$G$2:$H$434,2,FALSE)</f>
        <v>0</v>
      </c>
      <c r="D126" s="81">
        <f t="shared" ca="1" si="5"/>
        <v>0</v>
      </c>
      <c r="E126" s="99">
        <f ca="1">VLOOKUP(B126,'Warehouse Inventory'!$I$2:$L$643,4,FALSE)</f>
        <v>0</v>
      </c>
      <c r="F126" s="108" t="str">
        <f>IFERROR(VLOOKUP(B126,'Warehouse B'!$I$2:$L$148,4,FALSE),"0")</f>
        <v>0</v>
      </c>
    </row>
    <row r="127" spans="1:6">
      <c r="A127" s="60" t="s">
        <v>0</v>
      </c>
      <c r="B127" s="24" t="s">
        <v>0</v>
      </c>
      <c r="C127" s="82">
        <f ca="1">VLOOKUP(B127,PARTS!$G$2:$H$434,2,FALSE)</f>
        <v>4</v>
      </c>
      <c r="D127" s="81">
        <f t="shared" ca="1" si="5"/>
        <v>4</v>
      </c>
      <c r="E127" s="99">
        <f ca="1">VLOOKUP(B127,'Warehouse Inventory'!$I$2:$L$643,4,FALSE)</f>
        <v>4</v>
      </c>
      <c r="F127" s="108">
        <f ca="1">IFERROR(VLOOKUP(B127,'Warehouse B'!$I$2:$L$148,4,FALSE),"0")</f>
        <v>0</v>
      </c>
    </row>
    <row r="128" spans="1:6">
      <c r="A128" s="60" t="s">
        <v>0</v>
      </c>
      <c r="B128" s="24" t="s">
        <v>93</v>
      </c>
      <c r="C128" s="82">
        <f ca="1">VLOOKUP(B128,PARTS!$G$2:$H$434,2,FALSE)</f>
        <v>4</v>
      </c>
      <c r="D128" s="81">
        <f t="shared" ca="1" si="5"/>
        <v>0</v>
      </c>
      <c r="E128" s="99">
        <f ca="1">VLOOKUP(B128,'Warehouse Inventory'!$I$2:$L$643,4,FALSE)</f>
        <v>0</v>
      </c>
      <c r="F128" s="108" t="str">
        <f>IFERROR(VLOOKUP(B128,'Warehouse B'!$I$2:$L$148,4,FALSE),"0")</f>
        <v>0</v>
      </c>
    </row>
    <row r="129" spans="1:6">
      <c r="A129" s="60" t="s">
        <v>0</v>
      </c>
      <c r="B129" s="24" t="s">
        <v>94</v>
      </c>
      <c r="C129" s="82">
        <f ca="1">VLOOKUP(B129,PARTS!$G$2:$H$434,2,FALSE)</f>
        <v>4</v>
      </c>
      <c r="D129" s="81">
        <f t="shared" ca="1" si="5"/>
        <v>0</v>
      </c>
      <c r="E129" s="99">
        <f ca="1">VLOOKUP(B129,'Warehouse Inventory'!$I$2:$L$643,4,FALSE)</f>
        <v>0</v>
      </c>
      <c r="F129" s="108" t="str">
        <f>IFERROR(VLOOKUP(B129,'Warehouse B'!$I$2:$L$148,4,FALSE),"0")</f>
        <v>0</v>
      </c>
    </row>
    <row r="130" spans="1:6">
      <c r="A130" t="s">
        <v>12</v>
      </c>
      <c r="B130" s="80" t="s">
        <v>12</v>
      </c>
      <c r="C130" s="82">
        <f ca="1">D130</f>
        <v>13</v>
      </c>
      <c r="D130" s="81">
        <f t="shared" ca="1" si="5"/>
        <v>13</v>
      </c>
      <c r="E130" s="99">
        <f ca="1">VLOOKUP(B130,'Warehouse Inventory'!$I$2:$L$643,4,FALSE)</f>
        <v>3</v>
      </c>
      <c r="F130" s="108">
        <f ca="1">IFERROR(VLOOKUP(B130,'Warehouse B'!$I$2:$L$148,4,FALSE),"0")</f>
        <v>10</v>
      </c>
    </row>
    <row r="131" spans="1:6">
      <c r="A131" t="s">
        <v>715</v>
      </c>
      <c r="B131" s="81" t="s">
        <v>715</v>
      </c>
      <c r="C131" s="82">
        <f ca="1">D131</f>
        <v>0</v>
      </c>
      <c r="D131" s="81">
        <f t="shared" ca="1" si="5"/>
        <v>0</v>
      </c>
      <c r="E131" s="99">
        <f ca="1">VLOOKUP(B131,'Warehouse Inventory'!$I$2:$L$643,4,FALSE)</f>
        <v>0</v>
      </c>
      <c r="F131" s="108" t="str">
        <f>IFERROR(VLOOKUP(B131,'Warehouse B'!$I$2:$L$148,4,FALSE),"0")</f>
        <v>0</v>
      </c>
    </row>
    <row r="132" spans="1:6">
      <c r="A132" s="76" t="s">
        <v>784</v>
      </c>
      <c r="B132" s="24" t="s">
        <v>769</v>
      </c>
      <c r="C132" s="82">
        <f ca="1">VLOOKUP(B132,PARTS!$G$2:$H$434,2,FALSE)</f>
        <v>11</v>
      </c>
      <c r="D132" s="81">
        <f t="shared" ca="1" si="5"/>
        <v>0</v>
      </c>
      <c r="E132" s="99">
        <f ca="1">VLOOKUP(B132,'Warehouse Inventory'!$I$2:$L$643,4,FALSE)</f>
        <v>0</v>
      </c>
      <c r="F132" s="108" t="str">
        <f>IFERROR(VLOOKUP(B132,'Warehouse B'!$I$2:$L$148,4,FALSE),"0")</f>
        <v>0</v>
      </c>
    </row>
    <row r="133" spans="1:6">
      <c r="A133" s="56" t="s">
        <v>338</v>
      </c>
      <c r="B133" s="80" t="s">
        <v>338</v>
      </c>
      <c r="C133" s="82">
        <f ca="1">VLOOKUP(B133,PARTS!$G$2:$H$434,2,FALSE)</f>
        <v>11</v>
      </c>
      <c r="D133" s="81">
        <f t="shared" ca="1" si="5"/>
        <v>2</v>
      </c>
      <c r="E133" s="99">
        <f ca="1">VLOOKUP(B133,'Warehouse Inventory'!$I$2:$L$643,4,FALSE)</f>
        <v>2</v>
      </c>
      <c r="F133" s="108" t="str">
        <f>IFERROR(VLOOKUP(B133,'Warehouse B'!$I$2:$L$148,4,FALSE),"0")</f>
        <v>0</v>
      </c>
    </row>
    <row r="134" spans="1:6">
      <c r="A134" s="56" t="s">
        <v>695</v>
      </c>
      <c r="B134" s="80" t="s">
        <v>339</v>
      </c>
      <c r="C134" s="82">
        <f ca="1">VLOOKUP(B134,PARTS!$G$2:$H$434,2,FALSE)</f>
        <v>0</v>
      </c>
      <c r="D134" s="81">
        <f t="shared" ca="1" si="5"/>
        <v>0</v>
      </c>
      <c r="E134" s="99">
        <f ca="1">VLOOKUP(B134,'Warehouse Inventory'!$I$2:$L$643,4,FALSE)</f>
        <v>0</v>
      </c>
      <c r="F134" s="108" t="str">
        <f>IFERROR(VLOOKUP(B134,'Warehouse B'!$I$2:$L$148,4,FALSE),"0")</f>
        <v>0</v>
      </c>
    </row>
    <row r="135" spans="1:6">
      <c r="A135" s="56" t="s">
        <v>695</v>
      </c>
      <c r="B135" s="80" t="s">
        <v>340</v>
      </c>
      <c r="C135" s="82">
        <f ca="1">VLOOKUP(B135,PARTS!$G$2:$H$434,2,FALSE)</f>
        <v>0</v>
      </c>
      <c r="D135" s="81">
        <f t="shared" ca="1" si="5"/>
        <v>0</v>
      </c>
      <c r="E135" s="99">
        <f ca="1">VLOOKUP(B135,'Warehouse Inventory'!$I$2:$L$643,4,FALSE)</f>
        <v>0</v>
      </c>
      <c r="F135" s="108" t="str">
        <f>IFERROR(VLOOKUP(B135,'Warehouse B'!$I$2:$L$148,4,FALSE),"0")</f>
        <v>0</v>
      </c>
    </row>
    <row r="136" spans="1:6">
      <c r="A136" s="56" t="s">
        <v>695</v>
      </c>
      <c r="B136" s="80" t="s">
        <v>341</v>
      </c>
      <c r="C136" s="82">
        <f ca="1">VLOOKUP(B136,PARTS!$G$2:$H$434,2,FALSE)</f>
        <v>0</v>
      </c>
      <c r="D136" s="81">
        <f t="shared" ref="D136:D199" ca="1" si="8">E136+F136</f>
        <v>0</v>
      </c>
      <c r="E136" s="99">
        <f ca="1">VLOOKUP(B136,'Warehouse Inventory'!$I$2:$L$643,4,FALSE)</f>
        <v>0</v>
      </c>
      <c r="F136" s="108" t="str">
        <f>IFERROR(VLOOKUP(B136,'Warehouse B'!$I$2:$L$148,4,FALSE),"0")</f>
        <v>0</v>
      </c>
    </row>
    <row r="137" spans="1:6">
      <c r="A137" s="56" t="s">
        <v>695</v>
      </c>
      <c r="B137" s="80" t="s">
        <v>768</v>
      </c>
      <c r="C137" s="82">
        <f ca="1">VLOOKUP(B137,PARTS!$G$2:$H$434,2,FALSE)</f>
        <v>11</v>
      </c>
      <c r="D137" s="81">
        <f t="shared" ca="1" si="8"/>
        <v>0</v>
      </c>
      <c r="E137" s="99">
        <f ca="1">VLOOKUP(B137,'Warehouse Inventory'!$I$2:$L$643,4,FALSE)</f>
        <v>0</v>
      </c>
      <c r="F137" s="108" t="str">
        <f>IFERROR(VLOOKUP(B137,'Warehouse B'!$I$2:$L$148,4,FALSE),"0")</f>
        <v>0</v>
      </c>
    </row>
    <row r="138" spans="1:6">
      <c r="A138" s="56" t="s">
        <v>695</v>
      </c>
      <c r="B138" s="80" t="s">
        <v>342</v>
      </c>
      <c r="C138" s="82">
        <f ca="1">VLOOKUP(B138,PARTS!$G$2:$H$434,2,FALSE)</f>
        <v>0</v>
      </c>
      <c r="D138" s="81">
        <f t="shared" ca="1" si="8"/>
        <v>0</v>
      </c>
      <c r="E138" s="99">
        <f ca="1">VLOOKUP(B138,'Warehouse Inventory'!$I$2:$L$643,4,FALSE)</f>
        <v>0</v>
      </c>
      <c r="F138" s="108">
        <f ca="1">IFERROR(VLOOKUP(B138,'Warehouse B'!$I$2:$L$148,4,FALSE),"0")</f>
        <v>0</v>
      </c>
    </row>
    <row r="139" spans="1:6">
      <c r="A139" s="61" t="s">
        <v>95</v>
      </c>
      <c r="B139" s="80" t="s">
        <v>95</v>
      </c>
      <c r="C139" s="82">
        <f ca="1">VLOOKUP(B139,PARTS!$G$2:$H$434,2,FALSE)</f>
        <v>1</v>
      </c>
      <c r="D139" s="81">
        <f t="shared" ca="1" si="8"/>
        <v>1</v>
      </c>
      <c r="E139" s="99">
        <f ca="1">VLOOKUP(B139,'Warehouse Inventory'!$I$2:$L$643,4,FALSE)</f>
        <v>1</v>
      </c>
      <c r="F139" s="108" t="str">
        <f>IFERROR(VLOOKUP(B139,'Warehouse B'!$I$2:$L$148,4,FALSE),"0")</f>
        <v>0</v>
      </c>
    </row>
    <row r="140" spans="1:6">
      <c r="A140" s="61" t="s">
        <v>23</v>
      </c>
      <c r="B140" s="80" t="s">
        <v>23</v>
      </c>
      <c r="C140" s="82">
        <f ca="1">VLOOKUP(B140,PARTS!$G$2:$H$434,2,FALSE)</f>
        <v>6</v>
      </c>
      <c r="D140" s="81">
        <f t="shared" ca="1" si="8"/>
        <v>-2</v>
      </c>
      <c r="E140" s="99">
        <f ca="1">VLOOKUP(B140,'Warehouse Inventory'!$I$2:$L$643,4,FALSE)</f>
        <v>-2</v>
      </c>
      <c r="F140" s="108" t="str">
        <f>IFERROR(VLOOKUP(B140,'Warehouse B'!$I$2:$L$148,4,FALSE),"0")</f>
        <v>0</v>
      </c>
    </row>
    <row r="141" spans="1:6">
      <c r="A141" s="61" t="s">
        <v>96</v>
      </c>
      <c r="B141" s="80" t="s">
        <v>96</v>
      </c>
      <c r="C141" s="82">
        <f ca="1">VLOOKUP(B141,PARTS!$G$2:$H$434,2,FALSE)</f>
        <v>1</v>
      </c>
      <c r="D141" s="81">
        <f t="shared" ca="1" si="8"/>
        <v>0</v>
      </c>
      <c r="E141" s="99">
        <f ca="1">VLOOKUP(B141,'Warehouse Inventory'!$I$2:$L$643,4,FALSE)</f>
        <v>0</v>
      </c>
      <c r="F141" s="108" t="str">
        <f>IFERROR(VLOOKUP(B141,'Warehouse B'!$I$2:$L$148,4,FALSE),"0")</f>
        <v>0</v>
      </c>
    </row>
    <row r="142" spans="1:6">
      <c r="A142" s="61" t="s">
        <v>24</v>
      </c>
      <c r="B142" s="80" t="s">
        <v>24</v>
      </c>
      <c r="C142" s="82">
        <f ca="1">VLOOKUP(B142,PARTS!$G$2:$H$434,2,FALSE)</f>
        <v>6</v>
      </c>
      <c r="D142" s="81">
        <f t="shared" ca="1" si="8"/>
        <v>8</v>
      </c>
      <c r="E142" s="99">
        <f ca="1">VLOOKUP(B142,'Warehouse Inventory'!$I$2:$L$643,4,FALSE)</f>
        <v>8</v>
      </c>
      <c r="F142" s="108" t="str">
        <f>IFERROR(VLOOKUP(B142,'Warehouse B'!$I$2:$L$148,4,FALSE),"0")</f>
        <v>0</v>
      </c>
    </row>
    <row r="143" spans="1:6">
      <c r="A143" s="62" t="s">
        <v>343</v>
      </c>
      <c r="B143" s="80" t="s">
        <v>343</v>
      </c>
      <c r="C143" s="82">
        <f ca="1">VLOOKUP(B143,PARTS!$G$2:$H$434,2,FALSE)</f>
        <v>16</v>
      </c>
      <c r="D143" s="81">
        <f t="shared" ca="1" si="8"/>
        <v>16</v>
      </c>
      <c r="E143" s="99">
        <f ca="1">VLOOKUP(B143,'Warehouse Inventory'!$I$2:$L$643,4,FALSE)</f>
        <v>1</v>
      </c>
      <c r="F143" s="108">
        <f ca="1">IFERROR(VLOOKUP(B143,'Warehouse B'!$I$2:$L$148,4,FALSE),"0")</f>
        <v>15</v>
      </c>
    </row>
    <row r="144" spans="1:6">
      <c r="A144" s="62" t="s">
        <v>21</v>
      </c>
      <c r="B144" s="80" t="s">
        <v>21</v>
      </c>
      <c r="C144" s="82">
        <f ca="1">VLOOKUP(B144,PARTS!$G$2:$H$434,2,FALSE)</f>
        <v>15</v>
      </c>
      <c r="D144" s="81">
        <f t="shared" ca="1" si="8"/>
        <v>0</v>
      </c>
      <c r="E144" s="99">
        <f ca="1">VLOOKUP(B144,'Warehouse Inventory'!$I$2:$L$643,4,FALSE)</f>
        <v>0</v>
      </c>
      <c r="F144" s="108">
        <f ca="1">IFERROR(VLOOKUP(B144,'Warehouse B'!$I$2:$L$148,4,FALSE),"0")</f>
        <v>0</v>
      </c>
    </row>
    <row r="145" spans="1:6">
      <c r="A145" s="62" t="s">
        <v>344</v>
      </c>
      <c r="B145" s="80" t="s">
        <v>344</v>
      </c>
      <c r="C145" s="82">
        <f ca="1">VLOOKUP(B145,PARTS!$G$2:$H$434,2,FALSE)</f>
        <v>16</v>
      </c>
      <c r="D145" s="81">
        <f t="shared" ca="1" si="8"/>
        <v>0</v>
      </c>
      <c r="E145" s="99">
        <f ca="1">VLOOKUP(B145,'Warehouse Inventory'!$I$2:$L$643,4,FALSE)</f>
        <v>0</v>
      </c>
      <c r="F145" s="108" t="str">
        <f>IFERROR(VLOOKUP(B145,'Warehouse B'!$I$2:$L$148,4,FALSE),"0")</f>
        <v>0</v>
      </c>
    </row>
    <row r="146" spans="1:6">
      <c r="A146" s="62" t="s">
        <v>345</v>
      </c>
      <c r="B146" s="80" t="s">
        <v>345</v>
      </c>
      <c r="C146" s="82">
        <f ca="1">VLOOKUP(B146,PARTS!$G$2:$H$434,2,FALSE)</f>
        <v>15</v>
      </c>
      <c r="D146" s="81">
        <f t="shared" ca="1" si="8"/>
        <v>15</v>
      </c>
      <c r="E146" s="99">
        <f ca="1">VLOOKUP(B146,'Warehouse Inventory'!$I$2:$L$643,4,FALSE)</f>
        <v>0</v>
      </c>
      <c r="F146" s="108">
        <f ca="1">IFERROR(VLOOKUP(B146,'Warehouse B'!$I$2:$L$148,4,FALSE),"0")</f>
        <v>15</v>
      </c>
    </row>
    <row r="147" spans="1:6">
      <c r="A147" t="s">
        <v>32</v>
      </c>
      <c r="B147" s="80" t="s">
        <v>32</v>
      </c>
      <c r="C147" s="82">
        <f ca="1">D147</f>
        <v>0</v>
      </c>
      <c r="D147" s="81">
        <f t="shared" ca="1" si="8"/>
        <v>0</v>
      </c>
      <c r="E147" s="99">
        <f ca="1">VLOOKUP(B147,'Warehouse Inventory'!$I$2:$L$643,4,FALSE)</f>
        <v>0</v>
      </c>
      <c r="F147" s="108" t="str">
        <f>IFERROR(VLOOKUP(B147,'Warehouse B'!$I$2:$L$148,4,FALSE),"0")</f>
        <v>0</v>
      </c>
    </row>
    <row r="148" spans="1:6">
      <c r="A148" t="s">
        <v>33</v>
      </c>
      <c r="B148" s="80" t="s">
        <v>33</v>
      </c>
      <c r="C148" s="82">
        <f t="shared" ref="C148:C161" ca="1" si="9">D148</f>
        <v>2</v>
      </c>
      <c r="D148" s="81">
        <f t="shared" ca="1" si="8"/>
        <v>2</v>
      </c>
      <c r="E148" s="99">
        <f ca="1">VLOOKUP(B148,'Warehouse Inventory'!$I$2:$L$643,4,FALSE)</f>
        <v>2</v>
      </c>
      <c r="F148" s="108" t="str">
        <f>IFERROR(VLOOKUP(B148,'Warehouse B'!$I$2:$L$148,4,FALSE),"0")</f>
        <v>0</v>
      </c>
    </row>
    <row r="149" spans="1:6">
      <c r="A149" t="s">
        <v>35</v>
      </c>
      <c r="B149" s="80" t="s">
        <v>35</v>
      </c>
      <c r="C149" s="82">
        <f t="shared" ca="1" si="9"/>
        <v>0</v>
      </c>
      <c r="D149" s="81">
        <f t="shared" ca="1" si="8"/>
        <v>0</v>
      </c>
      <c r="E149" s="99">
        <f ca="1">VLOOKUP(B149,'Warehouse Inventory'!$I$2:$L$643,4,FALSE)</f>
        <v>0</v>
      </c>
      <c r="F149" s="108" t="str">
        <f>IFERROR(VLOOKUP(B149,'Warehouse B'!$I$2:$L$148,4,FALSE),"0")</f>
        <v>0</v>
      </c>
    </row>
    <row r="150" spans="1:6">
      <c r="A150" t="s">
        <v>34</v>
      </c>
      <c r="B150" s="80" t="s">
        <v>34</v>
      </c>
      <c r="C150" s="82">
        <f t="shared" ca="1" si="9"/>
        <v>0</v>
      </c>
      <c r="D150" s="81">
        <f t="shared" ca="1" si="8"/>
        <v>0</v>
      </c>
      <c r="E150" s="99">
        <f ca="1">VLOOKUP(B150,'Warehouse Inventory'!$I$2:$L$643,4,FALSE)</f>
        <v>0</v>
      </c>
      <c r="F150" s="108" t="str">
        <f>IFERROR(VLOOKUP(B150,'Warehouse B'!$I$2:$L$148,4,FALSE),"0")</f>
        <v>0</v>
      </c>
    </row>
    <row r="151" spans="1:6">
      <c r="A151" t="s">
        <v>30</v>
      </c>
      <c r="B151" s="80" t="s">
        <v>30</v>
      </c>
      <c r="C151" s="82">
        <f t="shared" ca="1" si="9"/>
        <v>0</v>
      </c>
      <c r="D151" s="81">
        <f t="shared" ca="1" si="8"/>
        <v>0</v>
      </c>
      <c r="E151" s="99">
        <f ca="1">VLOOKUP(B151,'Warehouse Inventory'!$I$2:$L$643,4,FALSE)</f>
        <v>0</v>
      </c>
      <c r="F151" s="108" t="str">
        <f>IFERROR(VLOOKUP(B151,'Warehouse B'!$I$2:$L$148,4,FALSE),"0")</f>
        <v>0</v>
      </c>
    </row>
    <row r="152" spans="1:6">
      <c r="A152" t="s">
        <v>31</v>
      </c>
      <c r="B152" s="80" t="s">
        <v>31</v>
      </c>
      <c r="C152" s="82">
        <f t="shared" ca="1" si="9"/>
        <v>0</v>
      </c>
      <c r="D152" s="81">
        <f t="shared" ca="1" si="8"/>
        <v>0</v>
      </c>
      <c r="E152" s="99">
        <f ca="1">VLOOKUP(B152,'Warehouse Inventory'!$I$2:$L$643,4,FALSE)</f>
        <v>0</v>
      </c>
      <c r="F152" s="108" t="str">
        <f>IFERROR(VLOOKUP(B152,'Warehouse B'!$I$2:$L$148,4,FALSE),"0")</f>
        <v>0</v>
      </c>
    </row>
    <row r="153" spans="1:6">
      <c r="A153" t="s">
        <v>346</v>
      </c>
      <c r="B153" s="80" t="s">
        <v>346</v>
      </c>
      <c r="C153" s="82">
        <f t="shared" ca="1" si="9"/>
        <v>74</v>
      </c>
      <c r="D153" s="81">
        <f t="shared" ca="1" si="8"/>
        <v>74</v>
      </c>
      <c r="E153" s="99">
        <f ca="1">VLOOKUP(B153,'Warehouse Inventory'!$I$2:$L$643,4,FALSE)</f>
        <v>50</v>
      </c>
      <c r="F153" s="108">
        <f ca="1">IFERROR(VLOOKUP(B153,'Warehouse B'!$I$2:$L$148,4,FALSE),"0")</f>
        <v>24</v>
      </c>
    </row>
    <row r="154" spans="1:6">
      <c r="A154" t="s">
        <v>347</v>
      </c>
      <c r="B154" s="80" t="s">
        <v>347</v>
      </c>
      <c r="C154" s="82">
        <f t="shared" ca="1" si="9"/>
        <v>69</v>
      </c>
      <c r="D154" s="81">
        <f t="shared" ca="1" si="8"/>
        <v>69</v>
      </c>
      <c r="E154" s="99">
        <f ca="1">VLOOKUP(B154,'Warehouse Inventory'!$I$2:$L$643,4,FALSE)</f>
        <v>11</v>
      </c>
      <c r="F154" s="108">
        <f ca="1">IFERROR(VLOOKUP(B154,'Warehouse B'!$I$2:$L$148,4,FALSE),"0")</f>
        <v>58</v>
      </c>
    </row>
    <row r="155" spans="1:6">
      <c r="A155" t="s">
        <v>97</v>
      </c>
      <c r="B155" s="80" t="s">
        <v>97</v>
      </c>
      <c r="C155" s="82">
        <f t="shared" ca="1" si="9"/>
        <v>10</v>
      </c>
      <c r="D155" s="81">
        <f t="shared" ca="1" si="8"/>
        <v>10</v>
      </c>
      <c r="E155" s="99">
        <f ca="1">VLOOKUP(B155,'Warehouse Inventory'!$I$2:$L$643,4,FALSE)</f>
        <v>0</v>
      </c>
      <c r="F155" s="108">
        <f ca="1">IFERROR(VLOOKUP(B155,'Warehouse B'!$I$2:$L$148,4,FALSE),"0")</f>
        <v>10</v>
      </c>
    </row>
    <row r="156" spans="1:6" s="22" customFormat="1">
      <c r="A156" t="s">
        <v>98</v>
      </c>
      <c r="B156" s="80" t="s">
        <v>98</v>
      </c>
      <c r="C156" s="82">
        <f t="shared" ca="1" si="9"/>
        <v>0</v>
      </c>
      <c r="D156" s="81">
        <f t="shared" ca="1" si="8"/>
        <v>0</v>
      </c>
      <c r="E156" s="99">
        <f ca="1">VLOOKUP(B156,'Warehouse Inventory'!$I$2:$L$643,4,FALSE)</f>
        <v>0</v>
      </c>
      <c r="F156" s="108" t="str">
        <f>IFERROR(VLOOKUP(B156,'Warehouse B'!$I$2:$L$148,4,FALSE),"0")</f>
        <v>0</v>
      </c>
    </row>
    <row r="157" spans="1:6">
      <c r="A157" t="s">
        <v>99</v>
      </c>
      <c r="B157" s="80" t="s">
        <v>99</v>
      </c>
      <c r="C157" s="82">
        <f t="shared" ca="1" si="9"/>
        <v>0</v>
      </c>
      <c r="D157" s="81">
        <f t="shared" ca="1" si="8"/>
        <v>0</v>
      </c>
      <c r="E157" s="99">
        <f ca="1">VLOOKUP(B157,'Warehouse Inventory'!$I$2:$L$643,4,FALSE)</f>
        <v>0</v>
      </c>
      <c r="F157" s="108" t="str">
        <f>IFERROR(VLOOKUP(B157,'Warehouse B'!$I$2:$L$148,4,FALSE),"0")</f>
        <v>0</v>
      </c>
    </row>
    <row r="158" spans="1:6">
      <c r="A158" t="s">
        <v>348</v>
      </c>
      <c r="B158" s="80" t="s">
        <v>348</v>
      </c>
      <c r="C158" s="82">
        <f t="shared" ca="1" si="9"/>
        <v>0</v>
      </c>
      <c r="D158" s="81">
        <f t="shared" ca="1" si="8"/>
        <v>0</v>
      </c>
      <c r="E158" s="99">
        <f ca="1">VLOOKUP(B158,'Warehouse Inventory'!$I$2:$L$643,4,FALSE)</f>
        <v>0</v>
      </c>
      <c r="F158" s="108" t="str">
        <f>IFERROR(VLOOKUP(B158,'Warehouse B'!$I$2:$L$148,4,FALSE),"0")</f>
        <v>0</v>
      </c>
    </row>
    <row r="159" spans="1:6">
      <c r="A159" t="s">
        <v>100</v>
      </c>
      <c r="B159" s="80" t="s">
        <v>100</v>
      </c>
      <c r="C159" s="82">
        <f t="shared" ca="1" si="9"/>
        <v>10</v>
      </c>
      <c r="D159" s="81">
        <f t="shared" ca="1" si="8"/>
        <v>10</v>
      </c>
      <c r="E159" s="99">
        <f ca="1">VLOOKUP(B159,'Warehouse Inventory'!$I$2:$L$643,4,FALSE)</f>
        <v>10</v>
      </c>
      <c r="F159" s="108" t="str">
        <f>IFERROR(VLOOKUP(B159,'Warehouse B'!$I$2:$L$148,4,FALSE),"0")</f>
        <v>0</v>
      </c>
    </row>
    <row r="160" spans="1:6">
      <c r="A160" t="s">
        <v>101</v>
      </c>
      <c r="B160" s="80" t="s">
        <v>101</v>
      </c>
      <c r="C160" s="82">
        <f t="shared" ca="1" si="9"/>
        <v>29</v>
      </c>
      <c r="D160" s="81">
        <f t="shared" ca="1" si="8"/>
        <v>29</v>
      </c>
      <c r="E160" s="99">
        <f ca="1">VLOOKUP(B160,'Warehouse Inventory'!$I$2:$L$643,4,FALSE)</f>
        <v>0</v>
      </c>
      <c r="F160" s="108">
        <f ca="1">IFERROR(VLOOKUP(B160,'Warehouse B'!$I$2:$L$148,4,FALSE),"0")</f>
        <v>29</v>
      </c>
    </row>
    <row r="161" spans="1:6">
      <c r="A161" t="s">
        <v>349</v>
      </c>
      <c r="B161" s="80" t="s">
        <v>349</v>
      </c>
      <c r="C161" s="82">
        <f t="shared" ca="1" si="9"/>
        <v>10</v>
      </c>
      <c r="D161" s="81">
        <f t="shared" ca="1" si="8"/>
        <v>10</v>
      </c>
      <c r="E161" s="99">
        <f ca="1">VLOOKUP(B161,'Warehouse Inventory'!$I$2:$L$643,4,FALSE)</f>
        <v>10</v>
      </c>
      <c r="F161" s="108" t="str">
        <f>IFERROR(VLOOKUP(B161,'Warehouse B'!$I$2:$L$148,4,FALSE),"0")</f>
        <v>0</v>
      </c>
    </row>
    <row r="162" spans="1:6">
      <c r="A162" s="56" t="s">
        <v>629</v>
      </c>
      <c r="B162" s="80" t="s">
        <v>102</v>
      </c>
      <c r="C162" s="82">
        <f ca="1">VLOOKUP(B162,PARTS!$G$2:$H$434,2,FALSE)</f>
        <v>36</v>
      </c>
      <c r="D162" s="81">
        <f t="shared" ca="1" si="8"/>
        <v>0</v>
      </c>
      <c r="E162" s="99">
        <f ca="1">VLOOKUP(B162,'Warehouse Inventory'!$I$2:$L$643,4,FALSE)</f>
        <v>0</v>
      </c>
      <c r="F162" s="108" t="str">
        <f>IFERROR(VLOOKUP(B162,'Warehouse B'!$I$2:$L$148,4,FALSE),"0")</f>
        <v>0</v>
      </c>
    </row>
    <row r="163" spans="1:6">
      <c r="A163" s="56" t="s">
        <v>629</v>
      </c>
      <c r="B163" s="80" t="s">
        <v>103</v>
      </c>
      <c r="C163" s="82">
        <f ca="1">VLOOKUP(B163,PARTS!$G$2:$H$434,2,FALSE)</f>
        <v>18</v>
      </c>
      <c r="D163" s="81">
        <f t="shared" ca="1" si="8"/>
        <v>18</v>
      </c>
      <c r="E163" s="99">
        <f ca="1">VLOOKUP(B163,'Warehouse Inventory'!$I$2:$L$643,4,FALSE)</f>
        <v>0</v>
      </c>
      <c r="F163" s="108">
        <f ca="1">IFERROR(VLOOKUP(B163,'Warehouse B'!$I$2:$L$148,4,FALSE),"0")</f>
        <v>18</v>
      </c>
    </row>
    <row r="164" spans="1:6">
      <c r="A164" s="61" t="s">
        <v>630</v>
      </c>
      <c r="B164" s="80" t="s">
        <v>104</v>
      </c>
      <c r="C164" s="82">
        <f ca="1">VLOOKUP(B164,PARTS!$G$2:$H$434,2,FALSE)</f>
        <v>2</v>
      </c>
      <c r="D164" s="81">
        <f t="shared" ca="1" si="8"/>
        <v>0</v>
      </c>
      <c r="E164" s="99">
        <f ca="1">VLOOKUP(B164,'Warehouse Inventory'!$I$2:$L$643,4,FALSE)</f>
        <v>0</v>
      </c>
      <c r="F164" s="108" t="str">
        <f>IFERROR(VLOOKUP(B164,'Warehouse B'!$I$2:$L$148,4,FALSE),"0")</f>
        <v>0</v>
      </c>
    </row>
    <row r="165" spans="1:6">
      <c r="A165" s="61" t="s">
        <v>630</v>
      </c>
      <c r="B165" s="80" t="s">
        <v>105</v>
      </c>
      <c r="C165" s="82">
        <f ca="1">VLOOKUP(B165,PARTS!$G$2:$H$434,2,FALSE)</f>
        <v>1</v>
      </c>
      <c r="D165" s="81">
        <f t="shared" ca="1" si="8"/>
        <v>1</v>
      </c>
      <c r="E165" s="99">
        <f ca="1">VLOOKUP(B165,'Warehouse Inventory'!$I$2:$L$643,4,FALSE)</f>
        <v>0.5</v>
      </c>
      <c r="F165" s="108">
        <f ca="1">IFERROR(VLOOKUP(B165,'Warehouse B'!$I$2:$L$148,4,FALSE),"0")</f>
        <v>0.5</v>
      </c>
    </row>
    <row r="166" spans="1:6">
      <c r="A166" s="62" t="s">
        <v>631</v>
      </c>
      <c r="B166" s="80" t="s">
        <v>106</v>
      </c>
      <c r="C166" s="82">
        <f ca="1">VLOOKUP(B166,PARTS!$G$2:$H$434,2,FALSE)</f>
        <v>78</v>
      </c>
      <c r="D166" s="81">
        <f t="shared" ca="1" si="8"/>
        <v>2</v>
      </c>
      <c r="E166" s="99">
        <f ca="1">VLOOKUP(B166,'Warehouse Inventory'!$I$2:$L$643,4,FALSE)</f>
        <v>0</v>
      </c>
      <c r="F166" s="108">
        <f ca="1">IFERROR(VLOOKUP(B166,'Warehouse B'!$I$2:$L$148,4,FALSE),"0")</f>
        <v>2</v>
      </c>
    </row>
    <row r="167" spans="1:6">
      <c r="A167" s="62" t="s">
        <v>631</v>
      </c>
      <c r="B167" s="80" t="s">
        <v>107</v>
      </c>
      <c r="C167" s="82">
        <f ca="1">VLOOKUP(B167,PARTS!$G$2:$H$434,2,FALSE)</f>
        <v>39</v>
      </c>
      <c r="D167" s="81">
        <f t="shared" ca="1" si="8"/>
        <v>38</v>
      </c>
      <c r="E167" s="99">
        <f ca="1">VLOOKUP(B167,'Warehouse Inventory'!$I$2:$L$643,4,FALSE)</f>
        <v>6</v>
      </c>
      <c r="F167" s="108">
        <f ca="1">IFERROR(VLOOKUP(B167,'Warehouse B'!$I$2:$L$148,4,FALSE),"0")</f>
        <v>32</v>
      </c>
    </row>
    <row r="168" spans="1:6">
      <c r="A168" s="56" t="s">
        <v>632</v>
      </c>
      <c r="B168" s="80" t="s">
        <v>108</v>
      </c>
      <c r="C168" s="82">
        <f ca="1">VLOOKUP(B168,PARTS!$G$2:$H$434,2,FALSE)</f>
        <v>48</v>
      </c>
      <c r="D168" s="81">
        <f t="shared" ca="1" si="8"/>
        <v>0</v>
      </c>
      <c r="E168" s="99">
        <f ca="1">VLOOKUP(B168,'Warehouse Inventory'!$I$2:$L$643,4,FALSE)</f>
        <v>0</v>
      </c>
      <c r="F168" s="108">
        <f ca="1">IFERROR(VLOOKUP(B168,'Warehouse B'!$I$2:$L$148,4,FALSE),"0")</f>
        <v>0</v>
      </c>
    </row>
    <row r="169" spans="1:6">
      <c r="A169" s="56" t="s">
        <v>632</v>
      </c>
      <c r="B169" s="80" t="s">
        <v>109</v>
      </c>
      <c r="C169" s="82">
        <f ca="1">VLOOKUP(B169,PARTS!$G$2:$H$434,2,FALSE)</f>
        <v>24</v>
      </c>
      <c r="D169" s="81">
        <f t="shared" ca="1" si="8"/>
        <v>24</v>
      </c>
      <c r="E169" s="99">
        <f ca="1">VLOOKUP(B169,'Warehouse Inventory'!$I$2:$L$643,4,FALSE)</f>
        <v>1</v>
      </c>
      <c r="F169" s="108">
        <f ca="1">IFERROR(VLOOKUP(B169,'Warehouse B'!$I$2:$L$148,4,FALSE),"0")</f>
        <v>23</v>
      </c>
    </row>
    <row r="170" spans="1:6">
      <c r="A170" s="61" t="s">
        <v>607</v>
      </c>
      <c r="B170" s="80" t="s">
        <v>110</v>
      </c>
      <c r="C170" s="82">
        <f ca="1">VLOOKUP(B170,PARTS!$G$2:$H$434,2,FALSE)</f>
        <v>14</v>
      </c>
      <c r="D170" s="81">
        <f t="shared" ca="1" si="8"/>
        <v>0</v>
      </c>
      <c r="E170" s="99">
        <f ca="1">VLOOKUP(B170,'Warehouse Inventory'!$I$2:$L$643,4,FALSE)</f>
        <v>0</v>
      </c>
      <c r="F170" s="108" t="str">
        <f>IFERROR(VLOOKUP(B170,'Warehouse B'!$I$2:$L$148,4,FALSE),"0")</f>
        <v>0</v>
      </c>
    </row>
    <row r="171" spans="1:6">
      <c r="A171" s="61" t="s">
        <v>607</v>
      </c>
      <c r="B171" s="80" t="s">
        <v>111</v>
      </c>
      <c r="C171" s="82">
        <f ca="1">VLOOKUP(B171,PARTS!$G$2:$H$434,2,FALSE)</f>
        <v>7</v>
      </c>
      <c r="D171" s="81">
        <f t="shared" ca="1" si="8"/>
        <v>5</v>
      </c>
      <c r="E171" s="99">
        <f ca="1">VLOOKUP(B171,'Warehouse Inventory'!$I$2:$L$643,4,FALSE)</f>
        <v>0</v>
      </c>
      <c r="F171" s="108">
        <f ca="1">IFERROR(VLOOKUP(B171,'Warehouse B'!$I$2:$L$148,4,FALSE),"0")</f>
        <v>5</v>
      </c>
    </row>
    <row r="172" spans="1:6">
      <c r="A172" s="61" t="s">
        <v>607</v>
      </c>
      <c r="B172" s="80" t="s">
        <v>13</v>
      </c>
      <c r="C172" s="82">
        <f ca="1">VLOOKUP(B172,PARTS!$G$2:$H$434,2,FALSE)</f>
        <v>3</v>
      </c>
      <c r="D172" s="81">
        <f t="shared" ca="1" si="8"/>
        <v>1</v>
      </c>
      <c r="E172" s="99">
        <f ca="1">VLOOKUP(B172,'Warehouse Inventory'!$I$2:$L$643,4,FALSE)</f>
        <v>1</v>
      </c>
      <c r="F172" s="108" t="str">
        <f>IFERROR(VLOOKUP(B172,'Warehouse B'!$I$2:$L$148,4,FALSE),"0")</f>
        <v>0</v>
      </c>
    </row>
    <row r="173" spans="1:6">
      <c r="A173" s="58" t="s">
        <v>615</v>
      </c>
      <c r="B173" s="80" t="s">
        <v>112</v>
      </c>
      <c r="C173" s="82">
        <f ca="1">VLOOKUP(B173,PARTS!$G$2:$H$434,2,FALSE)</f>
        <v>106</v>
      </c>
      <c r="D173" s="81">
        <f t="shared" ca="1" si="8"/>
        <v>0</v>
      </c>
      <c r="E173" s="99">
        <f ca="1">VLOOKUP(B173,'Warehouse Inventory'!$I$2:$L$643,4,FALSE)</f>
        <v>0</v>
      </c>
      <c r="F173" s="108" t="str">
        <f>IFERROR(VLOOKUP(B173,'Warehouse B'!$I$2:$L$148,4,FALSE),"0")</f>
        <v>0</v>
      </c>
    </row>
    <row r="174" spans="1:6">
      <c r="A174" s="58" t="s">
        <v>615</v>
      </c>
      <c r="B174" s="80" t="s">
        <v>53</v>
      </c>
      <c r="C174" s="82">
        <f ca="1">VLOOKUP(B174,PARTS!$G$2:$H$434,2,FALSE)</f>
        <v>53</v>
      </c>
      <c r="D174" s="81">
        <f t="shared" ca="1" si="8"/>
        <v>13</v>
      </c>
      <c r="E174" s="99">
        <f ca="1">VLOOKUP(B174,'Warehouse Inventory'!$I$2:$L$643,4,FALSE)</f>
        <v>0</v>
      </c>
      <c r="F174" s="108">
        <f ca="1">IFERROR(VLOOKUP(B174,'Warehouse B'!$I$2:$L$148,4,FALSE),"0")</f>
        <v>13</v>
      </c>
    </row>
    <row r="175" spans="1:6">
      <c r="A175" s="58" t="s">
        <v>615</v>
      </c>
      <c r="B175" s="80" t="s">
        <v>65</v>
      </c>
      <c r="C175" s="82">
        <f ca="1">VLOOKUP(B175,PARTS!$G$2:$H$434,2,FALSE)</f>
        <v>26</v>
      </c>
      <c r="D175" s="81">
        <f t="shared" ca="1" si="8"/>
        <v>20</v>
      </c>
      <c r="E175" s="99">
        <f ca="1">VLOOKUP(B175,'Warehouse Inventory'!$I$2:$L$643,4,FALSE)</f>
        <v>0</v>
      </c>
      <c r="F175" s="108">
        <f ca="1">IFERROR(VLOOKUP(B175,'Warehouse B'!$I$2:$L$148,4,FALSE),"0")</f>
        <v>20</v>
      </c>
    </row>
    <row r="176" spans="1:6">
      <c r="A176" s="56" t="s">
        <v>603</v>
      </c>
      <c r="B176" s="80" t="s">
        <v>113</v>
      </c>
      <c r="C176" s="82">
        <f ca="1">VLOOKUP(B176,PARTS!$G$2:$H$434,2,FALSE)</f>
        <v>1</v>
      </c>
      <c r="D176" s="81">
        <f t="shared" ca="1" si="8"/>
        <v>0</v>
      </c>
      <c r="E176" s="99">
        <f ca="1">VLOOKUP(B176,'Warehouse Inventory'!$I$2:$L$643,4,FALSE)</f>
        <v>0</v>
      </c>
      <c r="F176" s="108" t="str">
        <f>IFERROR(VLOOKUP(B176,'Warehouse B'!$I$2:$L$148,4,FALSE),"0")</f>
        <v>0</v>
      </c>
    </row>
    <row r="177" spans="1:6">
      <c r="A177" s="56" t="s">
        <v>603</v>
      </c>
      <c r="B177" s="80" t="s">
        <v>114</v>
      </c>
      <c r="C177" s="82">
        <f ca="1">VLOOKUP(B177,PARTS!$G$2:$H$434,2,FALSE)</f>
        <v>0</v>
      </c>
      <c r="D177" s="81">
        <f t="shared" ca="1" si="8"/>
        <v>0</v>
      </c>
      <c r="E177" s="99">
        <f ca="1">VLOOKUP(B177,'Warehouse Inventory'!$I$2:$L$643,4,FALSE)</f>
        <v>0</v>
      </c>
      <c r="F177" s="108" t="str">
        <f>IFERROR(VLOOKUP(B177,'Warehouse B'!$I$2:$L$148,4,FALSE),"0")</f>
        <v>0</v>
      </c>
    </row>
    <row r="178" spans="1:6">
      <c r="A178" s="56" t="s">
        <v>603</v>
      </c>
      <c r="B178" s="80" t="s">
        <v>38</v>
      </c>
      <c r="C178" s="82">
        <f ca="1">VLOOKUP(B178,PARTS!$G$2:$H$434,2,FALSE)</f>
        <v>0</v>
      </c>
      <c r="D178" s="81">
        <f t="shared" ca="1" si="8"/>
        <v>0.25</v>
      </c>
      <c r="E178" s="99">
        <f ca="1">VLOOKUP(B178,'Warehouse Inventory'!$I$2:$L$643,4,FALSE)</f>
        <v>0.25</v>
      </c>
      <c r="F178" s="108" t="str">
        <f>IFERROR(VLOOKUP(B178,'Warehouse B'!$I$2:$L$148,4,FALSE),"0")</f>
        <v>0</v>
      </c>
    </row>
    <row r="179" spans="1:6">
      <c r="A179" s="61" t="s">
        <v>633</v>
      </c>
      <c r="B179" s="80" t="s">
        <v>115</v>
      </c>
      <c r="C179" s="82">
        <f ca="1">VLOOKUP(B179,PARTS!$G$2:$H$434,2,FALSE)</f>
        <v>0</v>
      </c>
      <c r="D179" s="81">
        <f t="shared" ca="1" si="8"/>
        <v>0</v>
      </c>
      <c r="E179" s="99">
        <f ca="1">VLOOKUP(B179,'Warehouse Inventory'!$I$2:$L$643,4,FALSE)</f>
        <v>0</v>
      </c>
      <c r="F179" s="108" t="str">
        <f>IFERROR(VLOOKUP(B179,'Warehouse B'!$I$2:$L$148,4,FALSE),"0")</f>
        <v>0</v>
      </c>
    </row>
    <row r="180" spans="1:6">
      <c r="A180" s="61" t="s">
        <v>633</v>
      </c>
      <c r="B180" s="80" t="s">
        <v>116</v>
      </c>
      <c r="C180" s="82">
        <f ca="1">VLOOKUP(B180,PARTS!$G$2:$H$434,2,FALSE)</f>
        <v>0</v>
      </c>
      <c r="D180" s="81">
        <f t="shared" ca="1" si="8"/>
        <v>0</v>
      </c>
      <c r="E180" s="99">
        <f ca="1">VLOOKUP(B180,'Warehouse Inventory'!$I$2:$L$643,4,FALSE)</f>
        <v>0</v>
      </c>
      <c r="F180" s="108" t="str">
        <f>IFERROR(VLOOKUP(B180,'Warehouse B'!$I$2:$L$148,4,FALSE),"0")</f>
        <v>0</v>
      </c>
    </row>
    <row r="181" spans="1:6">
      <c r="A181" s="61" t="s">
        <v>633</v>
      </c>
      <c r="B181" s="80" t="s">
        <v>117</v>
      </c>
      <c r="C181" s="82">
        <f ca="1">VLOOKUP(B181,PARTS!$G$2:$H$434,2,FALSE)</f>
        <v>0</v>
      </c>
      <c r="D181" s="81">
        <f t="shared" ca="1" si="8"/>
        <v>0</v>
      </c>
      <c r="E181" s="99">
        <f ca="1">VLOOKUP(B181,'Warehouse Inventory'!$I$2:$L$643,4,FALSE)</f>
        <v>0</v>
      </c>
      <c r="F181" s="108" t="str">
        <f>IFERROR(VLOOKUP(B181,'Warehouse B'!$I$2:$L$148,4,FALSE),"0")</f>
        <v>0</v>
      </c>
    </row>
    <row r="182" spans="1:6">
      <c r="A182" s="56" t="s">
        <v>604</v>
      </c>
      <c r="B182" s="80" t="s">
        <v>118</v>
      </c>
      <c r="C182" s="82">
        <f ca="1">VLOOKUP(B182,PARTS!$G$2:$H$434,2,FALSE)</f>
        <v>10</v>
      </c>
      <c r="D182" s="81">
        <f t="shared" ca="1" si="8"/>
        <v>0</v>
      </c>
      <c r="E182" s="99">
        <f ca="1">VLOOKUP(B182,'Warehouse Inventory'!$I$2:$L$643,4,FALSE)</f>
        <v>0</v>
      </c>
      <c r="F182" s="108" t="str">
        <f>IFERROR(VLOOKUP(B182,'Warehouse B'!$I$2:$L$148,4,FALSE),"0")</f>
        <v>0</v>
      </c>
    </row>
    <row r="183" spans="1:6">
      <c r="A183" s="56" t="s">
        <v>604</v>
      </c>
      <c r="B183" s="80" t="s">
        <v>119</v>
      </c>
      <c r="C183" s="82">
        <f ca="1">VLOOKUP(B183,PARTS!$G$2:$H$434,2,FALSE)</f>
        <v>5</v>
      </c>
      <c r="D183" s="81">
        <f t="shared" ca="1" si="8"/>
        <v>5</v>
      </c>
      <c r="E183" s="99">
        <f ca="1">VLOOKUP(B183,'Warehouse Inventory'!$I$2:$L$643,4,FALSE)</f>
        <v>0</v>
      </c>
      <c r="F183" s="108">
        <f ca="1">IFERROR(VLOOKUP(B183,'Warehouse B'!$I$2:$L$148,4,FALSE),"0")</f>
        <v>5</v>
      </c>
    </row>
    <row r="184" spans="1:6">
      <c r="A184" s="56" t="s">
        <v>604</v>
      </c>
      <c r="B184" s="80" t="s">
        <v>37</v>
      </c>
      <c r="C184" s="82">
        <f ca="1">VLOOKUP(B184,PARTS!$G$2:$H$434,2,FALSE)</f>
        <v>2</v>
      </c>
      <c r="D184" s="81">
        <f t="shared" ca="1" si="8"/>
        <v>0</v>
      </c>
      <c r="E184" s="99">
        <f ca="1">VLOOKUP(B184,'Warehouse Inventory'!$I$2:$L$643,4,FALSE)</f>
        <v>0</v>
      </c>
      <c r="F184" s="108" t="str">
        <f>IFERROR(VLOOKUP(B184,'Warehouse B'!$I$2:$L$148,4,FALSE),"0")</f>
        <v>0</v>
      </c>
    </row>
    <row r="185" spans="1:6">
      <c r="A185" s="62" t="s">
        <v>634</v>
      </c>
      <c r="B185" s="81" t="s">
        <v>680</v>
      </c>
      <c r="C185" s="82">
        <f ca="1">VLOOKUP(B185,PARTS!$G$2:$H$434,2,FALSE)</f>
        <v>10</v>
      </c>
      <c r="D185" s="81">
        <f t="shared" ca="1" si="8"/>
        <v>0</v>
      </c>
      <c r="E185" s="99">
        <f ca="1">VLOOKUP(B185,'Warehouse Inventory'!$I$2:$L$643,4,FALSE)</f>
        <v>0</v>
      </c>
      <c r="F185" s="108" t="str">
        <f>IFERROR(VLOOKUP(B185,'Warehouse B'!$I$2:$L$148,4,FALSE),"0")</f>
        <v>0</v>
      </c>
    </row>
    <row r="186" spans="1:6">
      <c r="A186" s="62" t="s">
        <v>634</v>
      </c>
      <c r="B186" s="80" t="s">
        <v>120</v>
      </c>
      <c r="C186" s="82">
        <f ca="1">VLOOKUP(B186,PARTS!$G$2:$H$434,2,FALSE)</f>
        <v>5</v>
      </c>
      <c r="D186" s="81">
        <f t="shared" ca="1" si="8"/>
        <v>5</v>
      </c>
      <c r="E186" s="99">
        <f ca="1">VLOOKUP(B186,'Warehouse Inventory'!$I$2:$L$643,4,FALSE)</f>
        <v>0</v>
      </c>
      <c r="F186" s="108">
        <f ca="1">IFERROR(VLOOKUP(B186,'Warehouse B'!$I$2:$L$148,4,FALSE),"0")</f>
        <v>5</v>
      </c>
    </row>
    <row r="187" spans="1:6">
      <c r="A187" s="62" t="s">
        <v>634</v>
      </c>
      <c r="B187" s="80" t="s">
        <v>279</v>
      </c>
      <c r="C187" s="82">
        <f ca="1">VLOOKUP(B187,PARTS!$G$2:$H$434,2,FALSE)</f>
        <v>2</v>
      </c>
      <c r="D187" s="81">
        <f t="shared" ca="1" si="8"/>
        <v>0</v>
      </c>
      <c r="E187" s="99">
        <f ca="1">VLOOKUP(B187,'Warehouse Inventory'!$I$2:$L$643,4,FALSE)</f>
        <v>0</v>
      </c>
      <c r="F187" s="108" t="str">
        <f>IFERROR(VLOOKUP(B187,'Warehouse B'!$I$2:$L$148,4,FALSE),"0")</f>
        <v>0</v>
      </c>
    </row>
    <row r="188" spans="1:6">
      <c r="A188" s="56" t="s">
        <v>618</v>
      </c>
      <c r="B188" s="80" t="s">
        <v>681</v>
      </c>
      <c r="C188" s="82">
        <f ca="1">VLOOKUP(B188,PARTS!$G$2:$H$434,2,FALSE)</f>
        <v>332</v>
      </c>
      <c r="D188" s="81">
        <f t="shared" ca="1" si="8"/>
        <v>0</v>
      </c>
      <c r="E188" s="99">
        <f ca="1">VLOOKUP(B188,'Warehouse Inventory'!$I$2:$L$643,4,FALSE)</f>
        <v>0</v>
      </c>
      <c r="F188" s="108" t="str">
        <f>IFERROR(VLOOKUP(B188,'Warehouse B'!$I$2:$L$148,4,FALSE),"0")</f>
        <v>0</v>
      </c>
    </row>
    <row r="189" spans="1:6">
      <c r="A189" s="56" t="s">
        <v>618</v>
      </c>
      <c r="B189" s="80" t="s">
        <v>40</v>
      </c>
      <c r="C189" s="82">
        <f ca="1">VLOOKUP(B189,PARTS!$G$2:$H$434,2,FALSE)</f>
        <v>166</v>
      </c>
      <c r="D189" s="81">
        <f t="shared" ca="1" si="8"/>
        <v>37.5</v>
      </c>
      <c r="E189" s="99">
        <f ca="1">VLOOKUP(B189,'Warehouse Inventory'!$I$2:$L$643,4,FALSE)</f>
        <v>3</v>
      </c>
      <c r="F189" s="108">
        <f ca="1">IFERROR(VLOOKUP(B189,'Warehouse B'!$I$2:$L$148,4,FALSE),"0")</f>
        <v>34.5</v>
      </c>
    </row>
    <row r="190" spans="1:6">
      <c r="A190" s="56" t="s">
        <v>618</v>
      </c>
      <c r="B190" s="80" t="s">
        <v>39</v>
      </c>
      <c r="C190" s="82">
        <f ca="1">VLOOKUP(B190,PARTS!$G$2:$H$434,2,FALSE)</f>
        <v>83</v>
      </c>
      <c r="D190" s="81">
        <f t="shared" ca="1" si="8"/>
        <v>64.25</v>
      </c>
      <c r="E190" s="99">
        <f ca="1">VLOOKUP(B190,'Warehouse Inventory'!$I$2:$L$643,4,FALSE)</f>
        <v>16</v>
      </c>
      <c r="F190" s="108">
        <f ca="1">IFERROR(VLOOKUP(B190,'Warehouse B'!$I$2:$L$148,4,FALSE),"0")</f>
        <v>48.25</v>
      </c>
    </row>
    <row r="191" spans="1:6">
      <c r="A191" s="61" t="s">
        <v>635</v>
      </c>
      <c r="B191" s="80" t="s">
        <v>682</v>
      </c>
      <c r="C191" s="82">
        <f ca="1">VLOOKUP(B191,PARTS!$G$2:$H$434,2,FALSE)</f>
        <v>0</v>
      </c>
      <c r="D191" s="81">
        <f t="shared" ca="1" si="8"/>
        <v>0</v>
      </c>
      <c r="E191" s="99">
        <f ca="1">VLOOKUP(B191,'Warehouse Inventory'!$I$2:$L$643,4,FALSE)</f>
        <v>0</v>
      </c>
      <c r="F191" s="108" t="str">
        <f>IFERROR(VLOOKUP(B191,'Warehouse B'!$I$2:$L$148,4,FALSE),"0")</f>
        <v>0</v>
      </c>
    </row>
    <row r="192" spans="1:6">
      <c r="A192" s="61" t="s">
        <v>635</v>
      </c>
      <c r="B192" s="80" t="s">
        <v>121</v>
      </c>
      <c r="C192" s="82">
        <f ca="1">VLOOKUP(B192,PARTS!$G$2:$H$434,2,FALSE)</f>
        <v>0</v>
      </c>
      <c r="D192" s="81">
        <f t="shared" ca="1" si="8"/>
        <v>0</v>
      </c>
      <c r="E192" s="99">
        <f ca="1">VLOOKUP(B192,'Warehouse Inventory'!$I$2:$L$643,4,FALSE)</f>
        <v>0</v>
      </c>
      <c r="F192" s="108" t="str">
        <f>IFERROR(VLOOKUP(B192,'Warehouse B'!$I$2:$L$148,4,FALSE),"0")</f>
        <v>0</v>
      </c>
    </row>
    <row r="193" spans="1:6">
      <c r="A193" s="61" t="s">
        <v>635</v>
      </c>
      <c r="B193" s="80" t="s">
        <v>122</v>
      </c>
      <c r="C193" s="82">
        <f ca="1">VLOOKUP(B193,PARTS!$G$2:$H$434,2,FALSE)</f>
        <v>0</v>
      </c>
      <c r="D193" s="81">
        <f t="shared" ca="1" si="8"/>
        <v>0</v>
      </c>
      <c r="E193" s="99">
        <f ca="1">VLOOKUP(B193,'Warehouse Inventory'!$I$2:$L$643,4,FALSE)</f>
        <v>0</v>
      </c>
      <c r="F193" s="108" t="str">
        <f>IFERROR(VLOOKUP(B193,'Warehouse B'!$I$2:$L$148,4,FALSE),"0")</f>
        <v>0</v>
      </c>
    </row>
    <row r="194" spans="1:6">
      <c r="A194" s="56" t="s">
        <v>602</v>
      </c>
      <c r="B194" s="80" t="s">
        <v>683</v>
      </c>
      <c r="C194" s="82">
        <f ca="1">VLOOKUP(B194,PARTS!$G$2:$H$434,2,FALSE)</f>
        <v>10</v>
      </c>
      <c r="D194" s="81">
        <f t="shared" ca="1" si="8"/>
        <v>0</v>
      </c>
      <c r="E194" s="99">
        <f ca="1">VLOOKUP(B194,'Warehouse Inventory'!$I$2:$L$643,4,FALSE)</f>
        <v>0</v>
      </c>
      <c r="F194" s="108" t="str">
        <f>IFERROR(VLOOKUP(B194,'Warehouse B'!$I$2:$L$148,4,FALSE),"0")</f>
        <v>0</v>
      </c>
    </row>
    <row r="195" spans="1:6">
      <c r="A195" s="56" t="s">
        <v>602</v>
      </c>
      <c r="B195" s="80" t="s">
        <v>351</v>
      </c>
      <c r="C195" s="82">
        <f ca="1">VLOOKUP(B195,PARTS!$G$2:$H$434,2,FALSE)</f>
        <v>5</v>
      </c>
      <c r="D195" s="81">
        <f t="shared" ca="1" si="8"/>
        <v>5</v>
      </c>
      <c r="E195" s="99">
        <f ca="1">VLOOKUP(B195,'Warehouse Inventory'!$I$2:$L$643,4,FALSE)</f>
        <v>0</v>
      </c>
      <c r="F195" s="108">
        <f ca="1">IFERROR(VLOOKUP(B195,'Warehouse B'!$I$2:$L$148,4,FALSE),"0")</f>
        <v>5</v>
      </c>
    </row>
    <row r="196" spans="1:6">
      <c r="A196" s="56" t="s">
        <v>602</v>
      </c>
      <c r="B196" s="80" t="s">
        <v>14</v>
      </c>
      <c r="C196" s="82">
        <f ca="1">VLOOKUP(B196,PARTS!$G$2:$H$434,2,FALSE)</f>
        <v>2</v>
      </c>
      <c r="D196" s="81">
        <f t="shared" ca="1" si="8"/>
        <v>0</v>
      </c>
      <c r="E196" s="99">
        <f ca="1">VLOOKUP(B196,'Warehouse Inventory'!$I$2:$L$643,4,FALSE)</f>
        <v>0</v>
      </c>
      <c r="F196" s="108" t="str">
        <f>IFERROR(VLOOKUP(B196,'Warehouse B'!$I$2:$L$148,4,FALSE),"0")</f>
        <v>0</v>
      </c>
    </row>
    <row r="197" spans="1:6">
      <c r="A197" s="62" t="s">
        <v>636</v>
      </c>
      <c r="B197" s="80" t="s">
        <v>123</v>
      </c>
      <c r="C197" s="82">
        <f ca="1">VLOOKUP(B197,PARTS!$G$2:$H$434,2,FALSE)</f>
        <v>18</v>
      </c>
      <c r="D197" s="81">
        <f t="shared" ca="1" si="8"/>
        <v>0</v>
      </c>
      <c r="E197" s="99">
        <f ca="1">VLOOKUP(B197,'Warehouse Inventory'!$I$2:$L$643,4,FALSE)</f>
        <v>0</v>
      </c>
      <c r="F197" s="108" t="str">
        <f>IFERROR(VLOOKUP(B197,'Warehouse B'!$I$2:$L$148,4,FALSE),"0")</f>
        <v>0</v>
      </c>
    </row>
    <row r="198" spans="1:6">
      <c r="A198" s="62" t="s">
        <v>636</v>
      </c>
      <c r="B198" s="80" t="s">
        <v>352</v>
      </c>
      <c r="C198" s="82">
        <f ca="1">VLOOKUP(B198,PARTS!$G$2:$H$434,2,FALSE)</f>
        <v>9</v>
      </c>
      <c r="D198" s="81">
        <f t="shared" ca="1" si="8"/>
        <v>9</v>
      </c>
      <c r="E198" s="99">
        <f ca="1">VLOOKUP(B198,'Warehouse Inventory'!$I$2:$L$643,4,FALSE)</f>
        <v>0</v>
      </c>
      <c r="F198" s="108">
        <f ca="1">IFERROR(VLOOKUP(B198,'Warehouse B'!$I$2:$L$148,4,FALSE),"0")</f>
        <v>9</v>
      </c>
    </row>
    <row r="199" spans="1:6">
      <c r="A199" s="62" t="s">
        <v>636</v>
      </c>
      <c r="B199" s="80" t="s">
        <v>684</v>
      </c>
      <c r="C199" s="82">
        <f ca="1">VLOOKUP(B199,PARTS!$G$2:$H$434,2,FALSE)</f>
        <v>4</v>
      </c>
      <c r="D199" s="81">
        <f t="shared" ca="1" si="8"/>
        <v>0</v>
      </c>
      <c r="E199" s="99">
        <f ca="1">VLOOKUP(B199,'Warehouse Inventory'!$I$2:$L$643,4,FALSE)</f>
        <v>0</v>
      </c>
      <c r="F199" s="108" t="str">
        <f>IFERROR(VLOOKUP(B199,'Warehouse B'!$I$2:$L$148,4,FALSE),"0")</f>
        <v>0</v>
      </c>
    </row>
    <row r="200" spans="1:6">
      <c r="A200" s="61" t="s">
        <v>637</v>
      </c>
      <c r="B200" s="80" t="s">
        <v>124</v>
      </c>
      <c r="C200" s="82">
        <f ca="1">VLOOKUP(B200,PARTS!$G$2:$H$434,2,FALSE)</f>
        <v>0</v>
      </c>
      <c r="D200" s="81">
        <f t="shared" ref="D200:D263" ca="1" si="10">E200+F200</f>
        <v>0</v>
      </c>
      <c r="E200" s="99">
        <f ca="1">VLOOKUP(B200,'Warehouse Inventory'!$I$2:$L$643,4,FALSE)</f>
        <v>0</v>
      </c>
      <c r="F200" s="108" t="str">
        <f>IFERROR(VLOOKUP(B200,'Warehouse B'!$I$2:$L$148,4,FALSE),"0")</f>
        <v>0</v>
      </c>
    </row>
    <row r="201" spans="1:6">
      <c r="A201" s="61" t="s">
        <v>637</v>
      </c>
      <c r="B201" s="80" t="s">
        <v>125</v>
      </c>
      <c r="C201" s="82">
        <f ca="1">VLOOKUP(B201,PARTS!$G$2:$H$434,2,FALSE)</f>
        <v>0</v>
      </c>
      <c r="D201" s="81">
        <f t="shared" ca="1" si="10"/>
        <v>0</v>
      </c>
      <c r="E201" s="99">
        <f ca="1">VLOOKUP(B201,'Warehouse Inventory'!$I$2:$L$643,4,FALSE)</f>
        <v>0</v>
      </c>
      <c r="F201" s="108" t="str">
        <f>IFERROR(VLOOKUP(B201,'Warehouse B'!$I$2:$L$148,4,FALSE),"0")</f>
        <v>0</v>
      </c>
    </row>
    <row r="202" spans="1:6">
      <c r="A202" s="61" t="s">
        <v>637</v>
      </c>
      <c r="B202" s="80" t="s">
        <v>126</v>
      </c>
      <c r="C202" s="82">
        <f ca="1">VLOOKUP(B202,PARTS!$G$2:$H$434,2,FALSE)</f>
        <v>0</v>
      </c>
      <c r="D202" s="81">
        <f t="shared" ca="1" si="10"/>
        <v>0</v>
      </c>
      <c r="E202" s="99">
        <f ca="1">VLOOKUP(B202,'Warehouse Inventory'!$I$2:$L$643,4,FALSE)</f>
        <v>0</v>
      </c>
      <c r="F202" s="108" t="str">
        <f>IFERROR(VLOOKUP(B202,'Warehouse B'!$I$2:$L$148,4,FALSE),"0")</f>
        <v>0</v>
      </c>
    </row>
    <row r="203" spans="1:6">
      <c r="A203" s="56" t="s">
        <v>638</v>
      </c>
      <c r="B203" s="80" t="s">
        <v>353</v>
      </c>
      <c r="C203" s="82">
        <f ca="1">VLOOKUP(B203,PARTS!$G$2:$H$434,2,FALSE)</f>
        <v>0</v>
      </c>
      <c r="D203" s="81">
        <f t="shared" ca="1" si="10"/>
        <v>0</v>
      </c>
      <c r="E203" s="99">
        <f ca="1">VLOOKUP(B203,'Warehouse Inventory'!$I$2:$L$643,4,FALSE)</f>
        <v>0</v>
      </c>
      <c r="F203" s="108" t="str">
        <f>IFERROR(VLOOKUP(B203,'Warehouse B'!$I$2:$L$148,4,FALSE),"0")</f>
        <v>0</v>
      </c>
    </row>
    <row r="204" spans="1:6">
      <c r="A204" s="56" t="s">
        <v>638</v>
      </c>
      <c r="B204" s="80" t="s">
        <v>354</v>
      </c>
      <c r="C204" s="82">
        <f ca="1">VLOOKUP(B204,PARTS!$G$2:$H$434,2,FALSE)</f>
        <v>0</v>
      </c>
      <c r="D204" s="81">
        <f t="shared" ca="1" si="10"/>
        <v>0</v>
      </c>
      <c r="E204" s="99">
        <f ca="1">VLOOKUP(B204,'Warehouse Inventory'!$I$2:$L$643,4,FALSE)</f>
        <v>0</v>
      </c>
      <c r="F204" s="108" t="str">
        <f>IFERROR(VLOOKUP(B204,'Warehouse B'!$I$2:$L$148,4,FALSE),"0")</f>
        <v>0</v>
      </c>
    </row>
    <row r="205" spans="1:6">
      <c r="A205" s="56" t="s">
        <v>638</v>
      </c>
      <c r="B205" s="80" t="s">
        <v>355</v>
      </c>
      <c r="C205" s="82">
        <f ca="1">VLOOKUP(B205,PARTS!$G$2:$H$434,2,FALSE)</f>
        <v>0</v>
      </c>
      <c r="D205" s="81">
        <f t="shared" ca="1" si="10"/>
        <v>0</v>
      </c>
      <c r="E205" s="99">
        <f ca="1">VLOOKUP(B205,'Warehouse Inventory'!$I$2:$L$643,4,FALSE)</f>
        <v>0</v>
      </c>
      <c r="F205" s="108" t="str">
        <f>IFERROR(VLOOKUP(B205,'Warehouse B'!$I$2:$L$148,4,FALSE),"0")</f>
        <v>0</v>
      </c>
    </row>
    <row r="206" spans="1:6">
      <c r="A206" t="s">
        <v>356</v>
      </c>
      <c r="B206" s="80" t="s">
        <v>356</v>
      </c>
      <c r="C206" s="82">
        <f ca="1">D206</f>
        <v>0</v>
      </c>
      <c r="D206" s="81">
        <f t="shared" ca="1" si="10"/>
        <v>0</v>
      </c>
      <c r="E206" s="99">
        <f ca="1">VLOOKUP(B206,'Warehouse Inventory'!$I$2:$L$643,4,FALSE)</f>
        <v>0</v>
      </c>
      <c r="F206" s="108" t="str">
        <f>IFERROR(VLOOKUP(B206,'Warehouse B'!$I$2:$L$148,4,FALSE),"0")</f>
        <v>0</v>
      </c>
    </row>
    <row r="207" spans="1:6">
      <c r="A207" t="s">
        <v>622</v>
      </c>
      <c r="B207" s="80" t="s">
        <v>44</v>
      </c>
      <c r="C207" s="82">
        <f t="shared" ref="C207:C220" ca="1" si="11">D207</f>
        <v>11</v>
      </c>
      <c r="D207" s="81">
        <f t="shared" ca="1" si="10"/>
        <v>11</v>
      </c>
      <c r="E207" s="99">
        <f ca="1">VLOOKUP(B207,'Warehouse Inventory'!$I$2:$L$643,4,FALSE)</f>
        <v>11</v>
      </c>
      <c r="F207" s="108">
        <f ca="1">IFERROR(VLOOKUP(B207,'Warehouse B'!$I$2:$L$148,4,FALSE),"0")</f>
        <v>0</v>
      </c>
    </row>
    <row r="208" spans="1:6">
      <c r="A208" t="s">
        <v>608</v>
      </c>
      <c r="B208" s="80" t="s">
        <v>45</v>
      </c>
      <c r="C208" s="82">
        <f t="shared" ca="1" si="11"/>
        <v>10</v>
      </c>
      <c r="D208" s="81">
        <f t="shared" ca="1" si="10"/>
        <v>10</v>
      </c>
      <c r="E208" s="99">
        <f ca="1">VLOOKUP(B208,'Warehouse Inventory'!$I$2:$L$643,4,FALSE)</f>
        <v>-1</v>
      </c>
      <c r="F208" s="108">
        <f ca="1">IFERROR(VLOOKUP(B208,'Warehouse B'!$I$2:$L$148,4,FALSE),"0")</f>
        <v>11</v>
      </c>
    </row>
    <row r="209" spans="1:6">
      <c r="A209" t="s">
        <v>619</v>
      </c>
      <c r="B209" s="80" t="s">
        <v>42</v>
      </c>
      <c r="C209" s="82">
        <f t="shared" ca="1" si="11"/>
        <v>24</v>
      </c>
      <c r="D209" s="81">
        <f t="shared" ca="1" si="10"/>
        <v>24</v>
      </c>
      <c r="E209" s="99">
        <f ca="1">VLOOKUP(B209,'Warehouse Inventory'!$I$2:$L$643,4,FALSE)</f>
        <v>18</v>
      </c>
      <c r="F209" s="108">
        <f ca="1">IFERROR(VLOOKUP(B209,'Warehouse B'!$I$2:$L$148,4,FALSE),"0")</f>
        <v>6</v>
      </c>
    </row>
    <row r="210" spans="1:6">
      <c r="A210" t="s">
        <v>616</v>
      </c>
      <c r="B210" s="80" t="s">
        <v>43</v>
      </c>
      <c r="C210" s="82">
        <f t="shared" ca="1" si="11"/>
        <v>43</v>
      </c>
      <c r="D210" s="81">
        <f t="shared" ca="1" si="10"/>
        <v>43</v>
      </c>
      <c r="E210" s="99">
        <f ca="1">VLOOKUP(B210,'Warehouse Inventory'!$I$2:$L$643,4,FALSE)</f>
        <v>40</v>
      </c>
      <c r="F210" s="108">
        <f ca="1">IFERROR(VLOOKUP(B210,'Warehouse B'!$I$2:$L$148,4,FALSE),"0")</f>
        <v>3</v>
      </c>
    </row>
    <row r="211" spans="1:6">
      <c r="A211" t="s">
        <v>620</v>
      </c>
      <c r="B211" s="80" t="s">
        <v>59</v>
      </c>
      <c r="C211" s="82">
        <f t="shared" ca="1" si="11"/>
        <v>2</v>
      </c>
      <c r="D211" s="81">
        <f t="shared" ca="1" si="10"/>
        <v>2</v>
      </c>
      <c r="E211" s="99">
        <f ca="1">VLOOKUP(B211,'Warehouse Inventory'!$I$2:$L$643,4,FALSE)</f>
        <v>0</v>
      </c>
      <c r="F211" s="108">
        <f ca="1">IFERROR(VLOOKUP(B211,'Warehouse B'!$I$2:$L$148,4,FALSE),"0")</f>
        <v>2</v>
      </c>
    </row>
    <row r="212" spans="1:6">
      <c r="A212" t="s">
        <v>617</v>
      </c>
      <c r="B212" s="80" t="s">
        <v>60</v>
      </c>
      <c r="C212" s="82">
        <f t="shared" ca="1" si="11"/>
        <v>2</v>
      </c>
      <c r="D212" s="81">
        <f t="shared" ca="1" si="10"/>
        <v>2</v>
      </c>
      <c r="E212" s="99">
        <f ca="1">VLOOKUP(B212,'Warehouse Inventory'!$I$2:$L$643,4,FALSE)</f>
        <v>0</v>
      </c>
      <c r="F212" s="108">
        <f ca="1">IFERROR(VLOOKUP(B212,'Warehouse B'!$I$2:$L$148,4,FALSE),"0")</f>
        <v>2</v>
      </c>
    </row>
    <row r="213" spans="1:6">
      <c r="A213" t="s">
        <v>610</v>
      </c>
      <c r="B213" s="80" t="s">
        <v>46</v>
      </c>
      <c r="C213" s="82">
        <f t="shared" ca="1" si="11"/>
        <v>0</v>
      </c>
      <c r="D213" s="81">
        <f t="shared" ca="1" si="10"/>
        <v>0</v>
      </c>
      <c r="E213" s="99">
        <f ca="1">VLOOKUP(B213,'Warehouse Inventory'!$I$2:$L$643,4,FALSE)</f>
        <v>0</v>
      </c>
      <c r="F213" s="108">
        <f ca="1">IFERROR(VLOOKUP(B213,'Warehouse B'!$I$2:$L$148,4,FALSE),"0")</f>
        <v>0</v>
      </c>
    </row>
    <row r="214" spans="1:6">
      <c r="A214" t="s">
        <v>639</v>
      </c>
      <c r="B214" s="80" t="s">
        <v>58</v>
      </c>
      <c r="C214" s="82">
        <f t="shared" ca="1" si="11"/>
        <v>8</v>
      </c>
      <c r="D214" s="81">
        <f t="shared" ca="1" si="10"/>
        <v>8</v>
      </c>
      <c r="E214" s="99">
        <f ca="1">VLOOKUP(B214,'Warehouse Inventory'!$I$2:$L$643,4,FALSE)</f>
        <v>3</v>
      </c>
      <c r="F214" s="108">
        <f ca="1">IFERROR(VLOOKUP(B214,'Warehouse B'!$I$2:$L$148,4,FALSE),"0")</f>
        <v>5</v>
      </c>
    </row>
    <row r="215" spans="1:6">
      <c r="A215" t="s">
        <v>621</v>
      </c>
      <c r="B215" s="80" t="s">
        <v>47</v>
      </c>
      <c r="C215" s="82">
        <f t="shared" ca="1" si="11"/>
        <v>77</v>
      </c>
      <c r="D215" s="81">
        <f t="shared" ca="1" si="10"/>
        <v>77</v>
      </c>
      <c r="E215" s="99">
        <f ca="1">VLOOKUP(B215,'Warehouse Inventory'!$I$2:$L$643,4,FALSE)</f>
        <v>56</v>
      </c>
      <c r="F215" s="108">
        <f ca="1">IFERROR(VLOOKUP(B215,'Warehouse B'!$I$2:$L$148,4,FALSE),"0")</f>
        <v>21</v>
      </c>
    </row>
    <row r="216" spans="1:6">
      <c r="A216" t="s">
        <v>640</v>
      </c>
      <c r="B216" s="80" t="s">
        <v>57</v>
      </c>
      <c r="C216" s="82">
        <f t="shared" ca="1" si="11"/>
        <v>27</v>
      </c>
      <c r="D216" s="81">
        <f t="shared" ca="1" si="10"/>
        <v>27</v>
      </c>
      <c r="E216" s="99">
        <f ca="1">VLOOKUP(B216,'Warehouse Inventory'!$I$2:$L$643,4,FALSE)</f>
        <v>14</v>
      </c>
      <c r="F216" s="108">
        <f ca="1">IFERROR(VLOOKUP(B216,'Warehouse B'!$I$2:$L$148,4,FALSE),"0")</f>
        <v>13</v>
      </c>
    </row>
    <row r="217" spans="1:6">
      <c r="A217" t="s">
        <v>612</v>
      </c>
      <c r="B217" s="80" t="s">
        <v>49</v>
      </c>
      <c r="C217" s="82">
        <f t="shared" ca="1" si="11"/>
        <v>20</v>
      </c>
      <c r="D217" s="81">
        <f t="shared" ca="1" si="10"/>
        <v>20</v>
      </c>
      <c r="E217" s="99">
        <f ca="1">VLOOKUP(B217,'Warehouse Inventory'!$I$2:$L$643,4,FALSE)</f>
        <v>17</v>
      </c>
      <c r="F217" s="108">
        <f ca="1">IFERROR(VLOOKUP(B217,'Warehouse B'!$I$2:$L$148,4,FALSE),"0")</f>
        <v>3</v>
      </c>
    </row>
    <row r="218" spans="1:6">
      <c r="A218" t="s">
        <v>605</v>
      </c>
      <c r="B218" s="80" t="s">
        <v>48</v>
      </c>
      <c r="C218" s="82">
        <f t="shared" ca="1" si="11"/>
        <v>11</v>
      </c>
      <c r="D218" s="81">
        <f t="shared" ca="1" si="10"/>
        <v>11</v>
      </c>
      <c r="E218" s="99">
        <f ca="1">VLOOKUP(B218,'Warehouse Inventory'!$I$2:$L$643,4,FALSE)</f>
        <v>10</v>
      </c>
      <c r="F218" s="108">
        <f ca="1">IFERROR(VLOOKUP(B218,'Warehouse B'!$I$2:$L$148,4,FALSE),"0")</f>
        <v>1</v>
      </c>
    </row>
    <row r="219" spans="1:6">
      <c r="A219" t="s">
        <v>623</v>
      </c>
      <c r="B219" s="80" t="s">
        <v>55</v>
      </c>
      <c r="C219" s="82">
        <f t="shared" ca="1" si="11"/>
        <v>48</v>
      </c>
      <c r="D219" s="81">
        <f t="shared" ca="1" si="10"/>
        <v>48</v>
      </c>
      <c r="E219" s="99">
        <f ca="1">VLOOKUP(B219,'Warehouse Inventory'!$I$2:$L$643,4,FALSE)</f>
        <v>36</v>
      </c>
      <c r="F219" s="108">
        <f ca="1">IFERROR(VLOOKUP(B219,'Warehouse B'!$I$2:$L$148,4,FALSE),"0")</f>
        <v>12</v>
      </c>
    </row>
    <row r="220" spans="1:6">
      <c r="A220" t="s">
        <v>606</v>
      </c>
      <c r="B220" s="80" t="s">
        <v>56</v>
      </c>
      <c r="C220" s="82">
        <f t="shared" ca="1" si="11"/>
        <v>16</v>
      </c>
      <c r="D220" s="81">
        <f t="shared" ca="1" si="10"/>
        <v>16</v>
      </c>
      <c r="E220" s="99">
        <f ca="1">VLOOKUP(B220,'Warehouse Inventory'!$I$2:$L$643,4,FALSE)</f>
        <v>12</v>
      </c>
      <c r="F220" s="108">
        <f ca="1">IFERROR(VLOOKUP(B220,'Warehouse B'!$I$2:$L$148,4,FALSE),"0")</f>
        <v>4</v>
      </c>
    </row>
    <row r="221" spans="1:6">
      <c r="A221" s="56" t="s">
        <v>357</v>
      </c>
      <c r="B221" s="80" t="s">
        <v>357</v>
      </c>
      <c r="C221" s="82">
        <f ca="1">VLOOKUP(B221,PARTS!$G$2:$H$434,2,FALSE)</f>
        <v>69</v>
      </c>
      <c r="D221" s="81">
        <f t="shared" ca="1" si="10"/>
        <v>69</v>
      </c>
      <c r="E221" s="99">
        <f ca="1">VLOOKUP(B221,'Warehouse Inventory'!$I$2:$L$643,4,FALSE)</f>
        <v>64</v>
      </c>
      <c r="F221" s="108">
        <f ca="1">IFERROR(VLOOKUP(B221,'Warehouse B'!$I$2:$L$148,4,FALSE),"0")</f>
        <v>5</v>
      </c>
    </row>
    <row r="222" spans="1:6">
      <c r="A222" s="56" t="s">
        <v>357</v>
      </c>
      <c r="B222" s="80" t="s">
        <v>685</v>
      </c>
      <c r="C222" s="82">
        <f ca="1">VLOOKUP(B222,PARTS!$G$2:$H$434,2,FALSE)</f>
        <v>34</v>
      </c>
      <c r="D222" s="81">
        <f t="shared" ca="1" si="10"/>
        <v>0</v>
      </c>
      <c r="E222" s="99">
        <f ca="1">VLOOKUP(B222,'Warehouse Inventory'!$I$2:$L$643,4,FALSE)</f>
        <v>0</v>
      </c>
      <c r="F222" s="108" t="str">
        <f>IFERROR(VLOOKUP(B222,'Warehouse B'!$I$2:$L$148,4,FALSE),"0")</f>
        <v>0</v>
      </c>
    </row>
    <row r="223" spans="1:6" s="23" customFormat="1">
      <c r="A223" s="61" t="s">
        <v>358</v>
      </c>
      <c r="B223" s="80" t="s">
        <v>358</v>
      </c>
      <c r="C223" s="82">
        <f ca="1">VLOOKUP(B223,PARTS!$G$2:$H$434,2,FALSE)</f>
        <v>13</v>
      </c>
      <c r="D223" s="81">
        <f t="shared" ca="1" si="10"/>
        <v>13</v>
      </c>
      <c r="E223" s="99">
        <f ca="1">VLOOKUP(B223,'Warehouse Inventory'!$I$2:$L$643,4,FALSE)</f>
        <v>13</v>
      </c>
      <c r="F223" s="108">
        <f ca="1">IFERROR(VLOOKUP(B223,'Warehouse B'!$I$2:$L$148,4,FALSE),"0")</f>
        <v>0</v>
      </c>
    </row>
    <row r="224" spans="1:6" s="23" customFormat="1">
      <c r="A224" s="61" t="s">
        <v>358</v>
      </c>
      <c r="B224" s="80" t="s">
        <v>686</v>
      </c>
      <c r="C224" s="82">
        <f ca="1">VLOOKUP(B224,PARTS!$G$2:$H$434,2,FALSE)</f>
        <v>6</v>
      </c>
      <c r="D224" s="81">
        <f t="shared" ca="1" si="10"/>
        <v>0</v>
      </c>
      <c r="E224" s="99">
        <f ca="1">VLOOKUP(B224,'Warehouse Inventory'!$I$2:$L$643,4,FALSE)</f>
        <v>0</v>
      </c>
      <c r="F224" s="108" t="str">
        <f>IFERROR(VLOOKUP(B224,'Warehouse B'!$I$2:$L$148,4,FALSE),"0")</f>
        <v>0</v>
      </c>
    </row>
    <row r="225" spans="1:6" s="23" customFormat="1">
      <c r="A225" s="62" t="s">
        <v>359</v>
      </c>
      <c r="B225" s="80" t="s">
        <v>359</v>
      </c>
      <c r="C225" s="82">
        <f ca="1">VLOOKUP(B225,PARTS!$G$2:$H$434,2,FALSE)</f>
        <v>1</v>
      </c>
      <c r="D225" s="81">
        <f t="shared" ca="1" si="10"/>
        <v>1</v>
      </c>
      <c r="E225" s="99">
        <f ca="1">VLOOKUP(B225,'Warehouse Inventory'!$I$2:$L$643,4,FALSE)</f>
        <v>1</v>
      </c>
      <c r="F225" s="108">
        <f ca="1">IFERROR(VLOOKUP(B225,'Warehouse B'!$I$2:$L$148,4,FALSE),"0")</f>
        <v>0</v>
      </c>
    </row>
    <row r="226" spans="1:6" s="23" customFormat="1">
      <c r="A226" s="62" t="s">
        <v>359</v>
      </c>
      <c r="B226" s="80" t="s">
        <v>687</v>
      </c>
      <c r="C226" s="82">
        <f ca="1">VLOOKUP(B226,PARTS!$G$2:$H$434,2,FALSE)</f>
        <v>0</v>
      </c>
      <c r="D226" s="81">
        <f t="shared" ca="1" si="10"/>
        <v>0</v>
      </c>
      <c r="E226" s="99">
        <f ca="1">VLOOKUP(B226,'Warehouse Inventory'!$I$2:$L$643,4,FALSE)</f>
        <v>0</v>
      </c>
      <c r="F226" s="108" t="str">
        <f>IFERROR(VLOOKUP(B226,'Warehouse B'!$I$2:$L$148,4,FALSE),"0")</f>
        <v>0</v>
      </c>
    </row>
    <row r="227" spans="1:6" s="23" customFormat="1">
      <c r="A227" t="s">
        <v>360</v>
      </c>
      <c r="B227" s="80" t="s">
        <v>360</v>
      </c>
      <c r="C227" s="82">
        <f ca="1">D227</f>
        <v>1</v>
      </c>
      <c r="D227" s="81">
        <f t="shared" ca="1" si="10"/>
        <v>1</v>
      </c>
      <c r="E227" s="99">
        <f ca="1">VLOOKUP(B227,'Warehouse Inventory'!$I$2:$L$643,4,FALSE)</f>
        <v>1</v>
      </c>
      <c r="F227" s="108" t="str">
        <f>IFERROR(VLOOKUP(B227,'Warehouse B'!$I$2:$L$148,4,FALSE),"0")</f>
        <v>0</v>
      </c>
    </row>
    <row r="228" spans="1:6" s="23" customFormat="1">
      <c r="A228" s="1" t="s">
        <v>361</v>
      </c>
      <c r="B228" s="29" t="s">
        <v>361</v>
      </c>
      <c r="C228" s="82">
        <f t="shared" ref="C228:C231" ca="1" si="12">D228</f>
        <v>0</v>
      </c>
      <c r="D228" s="81">
        <f t="shared" ca="1" si="10"/>
        <v>0</v>
      </c>
      <c r="E228" s="99">
        <f ca="1">VLOOKUP(B228,'Warehouse Inventory'!$I$2:$L$643,4,FALSE)</f>
        <v>0</v>
      </c>
      <c r="F228" s="108" t="str">
        <f>IFERROR(VLOOKUP(B228,'Warehouse B'!$I$2:$L$148,4,FALSE),"0")</f>
        <v>0</v>
      </c>
    </row>
    <row r="229" spans="1:6" s="23" customFormat="1">
      <c r="A229" s="1" t="s">
        <v>362</v>
      </c>
      <c r="B229" s="29" t="s">
        <v>362</v>
      </c>
      <c r="C229" s="82">
        <f t="shared" ca="1" si="12"/>
        <v>10</v>
      </c>
      <c r="D229" s="81">
        <f t="shared" ca="1" si="10"/>
        <v>10</v>
      </c>
      <c r="E229" s="99">
        <f ca="1">VLOOKUP(B229,'Warehouse Inventory'!$I$2:$L$643,4,FALSE)</f>
        <v>10</v>
      </c>
      <c r="F229" s="108" t="str">
        <f>IFERROR(VLOOKUP(B229,'Warehouse B'!$I$2:$L$148,4,FALSE),"0")</f>
        <v>0</v>
      </c>
    </row>
    <row r="230" spans="1:6" s="23" customFormat="1">
      <c r="A230" s="1" t="s">
        <v>363</v>
      </c>
      <c r="B230" s="29" t="s">
        <v>363</v>
      </c>
      <c r="C230" s="82">
        <f t="shared" ca="1" si="12"/>
        <v>10</v>
      </c>
      <c r="D230" s="81">
        <f t="shared" ca="1" si="10"/>
        <v>10</v>
      </c>
      <c r="E230" s="99">
        <f ca="1">VLOOKUP(B230,'Warehouse Inventory'!$I$2:$L$643,4,FALSE)</f>
        <v>10</v>
      </c>
      <c r="F230" s="108" t="str">
        <f>IFERROR(VLOOKUP(B230,'Warehouse B'!$I$2:$L$148,4,FALSE),"0")</f>
        <v>0</v>
      </c>
    </row>
    <row r="231" spans="1:6" s="23" customFormat="1">
      <c r="A231" s="1" t="s">
        <v>364</v>
      </c>
      <c r="B231" s="29" t="s">
        <v>364</v>
      </c>
      <c r="C231" s="82">
        <f t="shared" ca="1" si="12"/>
        <v>0</v>
      </c>
      <c r="D231" s="81">
        <f t="shared" ca="1" si="10"/>
        <v>0</v>
      </c>
      <c r="E231" s="99">
        <f ca="1">VLOOKUP(B231,'Warehouse Inventory'!$I$2:$L$643,4,FALSE)</f>
        <v>0</v>
      </c>
      <c r="F231" s="108" t="str">
        <f>IFERROR(VLOOKUP(B231,'Warehouse B'!$I$2:$L$148,4,FALSE),"0")</f>
        <v>0</v>
      </c>
    </row>
    <row r="232" spans="1:6" s="23" customFormat="1">
      <c r="A232" s="77" t="s">
        <v>641</v>
      </c>
      <c r="B232" s="78" t="s">
        <v>127</v>
      </c>
      <c r="C232" s="82">
        <f ca="1">VLOOKUP(B232,PARTS!$G$2:$H$434,2,FALSE)</f>
        <v>2</v>
      </c>
      <c r="D232" s="81">
        <f t="shared" ca="1" si="10"/>
        <v>0</v>
      </c>
      <c r="E232" s="99">
        <f ca="1">VLOOKUP(B232,'Warehouse Inventory'!$I$2:$L$643,4,FALSE)</f>
        <v>0</v>
      </c>
      <c r="F232" s="108" t="str">
        <f>IFERROR(VLOOKUP(B232,'Warehouse B'!$I$2:$L$148,4,FALSE),"0")</f>
        <v>0</v>
      </c>
    </row>
    <row r="233" spans="1:6" s="23" customFormat="1">
      <c r="A233" s="77" t="s">
        <v>641</v>
      </c>
      <c r="B233" s="78" t="s">
        <v>128</v>
      </c>
      <c r="C233" s="82">
        <f ca="1">VLOOKUP(B233,PARTS!$G$2:$H$434,2,FALSE)</f>
        <v>1</v>
      </c>
      <c r="D233" s="81">
        <f t="shared" ca="1" si="10"/>
        <v>1</v>
      </c>
      <c r="E233" s="99">
        <f ca="1">VLOOKUP(B233,'Warehouse Inventory'!$I$2:$L$643,4,FALSE)</f>
        <v>1</v>
      </c>
      <c r="F233" s="108" t="str">
        <f>IFERROR(VLOOKUP(B233,'Warehouse B'!$I$2:$L$148,4,FALSE),"0")</f>
        <v>0</v>
      </c>
    </row>
    <row r="234" spans="1:6" s="23" customFormat="1">
      <c r="A234" s="77" t="s">
        <v>642</v>
      </c>
      <c r="B234" s="78" t="s">
        <v>129</v>
      </c>
      <c r="C234" s="82">
        <f ca="1">VLOOKUP(B234,PARTS!$G$2:$H$434,2,FALSE)</f>
        <v>0</v>
      </c>
      <c r="D234" s="81">
        <f t="shared" ca="1" si="10"/>
        <v>0</v>
      </c>
      <c r="E234" s="99">
        <f ca="1">VLOOKUP(B234,'Warehouse Inventory'!$I$2:$L$643,4,FALSE)</f>
        <v>0</v>
      </c>
      <c r="F234" s="108" t="str">
        <f>IFERROR(VLOOKUP(B234,'Warehouse B'!$I$2:$L$148,4,FALSE),"0")</f>
        <v>0</v>
      </c>
    </row>
    <row r="235" spans="1:6" s="23" customFormat="1">
      <c r="A235" s="77" t="s">
        <v>643</v>
      </c>
      <c r="B235" s="78" t="s">
        <v>365</v>
      </c>
      <c r="C235" s="82">
        <f ca="1">VLOOKUP(B235,PARTS!$G$2:$H$434,2,FALSE)</f>
        <v>0</v>
      </c>
      <c r="D235" s="81">
        <f t="shared" ca="1" si="10"/>
        <v>0</v>
      </c>
      <c r="E235" s="99">
        <f ca="1">VLOOKUP(B235,'Warehouse Inventory'!$I$2:$L$643,4,FALSE)</f>
        <v>0</v>
      </c>
      <c r="F235" s="108" t="str">
        <f>IFERROR(VLOOKUP(B235,'Warehouse B'!$I$2:$L$148,4,FALSE),"0")</f>
        <v>0</v>
      </c>
    </row>
    <row r="236" spans="1:6" s="23" customFormat="1">
      <c r="A236" s="77" t="s">
        <v>644</v>
      </c>
      <c r="B236" s="78" t="s">
        <v>130</v>
      </c>
      <c r="C236" s="82">
        <f ca="1">VLOOKUP(B236,PARTS!$G$2:$H$434,2,FALSE)</f>
        <v>0</v>
      </c>
      <c r="D236" s="81">
        <f t="shared" ca="1" si="10"/>
        <v>0</v>
      </c>
      <c r="E236" s="99">
        <f ca="1">VLOOKUP(B236,'Warehouse Inventory'!$I$2:$L$643,4,FALSE)</f>
        <v>0</v>
      </c>
      <c r="F236" s="108" t="str">
        <f>IFERROR(VLOOKUP(B236,'Warehouse B'!$I$2:$L$148,4,FALSE),"0")</f>
        <v>0</v>
      </c>
    </row>
    <row r="237" spans="1:6" s="23" customFormat="1">
      <c r="A237" s="77" t="s">
        <v>645</v>
      </c>
      <c r="B237" s="78" t="s">
        <v>131</v>
      </c>
      <c r="C237" s="82">
        <f ca="1">VLOOKUP(B237,PARTS!$G$2:$H$434,2,FALSE)</f>
        <v>0</v>
      </c>
      <c r="D237" s="81">
        <f t="shared" ca="1" si="10"/>
        <v>0</v>
      </c>
      <c r="E237" s="99">
        <f ca="1">VLOOKUP(B237,'Warehouse Inventory'!$I$2:$L$643,4,FALSE)</f>
        <v>0</v>
      </c>
      <c r="F237" s="108" t="str">
        <f>IFERROR(VLOOKUP(B237,'Warehouse B'!$I$2:$L$148,4,FALSE),"0")</f>
        <v>0</v>
      </c>
    </row>
    <row r="238" spans="1:6" s="23" customFormat="1">
      <c r="A238" s="77" t="s">
        <v>646</v>
      </c>
      <c r="B238" s="78" t="s">
        <v>132</v>
      </c>
      <c r="C238" s="82">
        <f ca="1">VLOOKUP(B238,PARTS!$G$2:$H$434,2,FALSE)</f>
        <v>0</v>
      </c>
      <c r="D238" s="81">
        <f t="shared" ca="1" si="10"/>
        <v>0</v>
      </c>
      <c r="E238" s="99">
        <f ca="1">VLOOKUP(B238,'Warehouse Inventory'!$I$2:$L$643,4,FALSE)</f>
        <v>0</v>
      </c>
      <c r="F238" s="108" t="str">
        <f>IFERROR(VLOOKUP(B238,'Warehouse B'!$I$2:$L$148,4,FALSE),"0")</f>
        <v>0</v>
      </c>
    </row>
    <row r="239" spans="1:6" s="23" customFormat="1">
      <c r="A239" s="77" t="s">
        <v>642</v>
      </c>
      <c r="B239" s="78" t="s">
        <v>366</v>
      </c>
      <c r="C239" s="82">
        <f ca="1">VLOOKUP(B239,PARTS!$G$2:$H$434,2,FALSE)</f>
        <v>0</v>
      </c>
      <c r="D239" s="81">
        <f t="shared" ca="1" si="10"/>
        <v>0</v>
      </c>
      <c r="E239" s="99">
        <f ca="1">VLOOKUP(B239,'Warehouse Inventory'!$I$2:$L$643,4,FALSE)</f>
        <v>0</v>
      </c>
      <c r="F239" s="108" t="str">
        <f>IFERROR(VLOOKUP(B239,'Warehouse B'!$I$2:$L$148,4,FALSE),"0")</f>
        <v>0</v>
      </c>
    </row>
    <row r="240" spans="1:6" s="23" customFormat="1">
      <c r="A240" s="77" t="s">
        <v>643</v>
      </c>
      <c r="B240" s="78" t="s">
        <v>367</v>
      </c>
      <c r="C240" s="82">
        <f ca="1">VLOOKUP(B240,PARTS!$G$2:$H$434,2,FALSE)</f>
        <v>0</v>
      </c>
      <c r="D240" s="81">
        <f t="shared" ca="1" si="10"/>
        <v>0</v>
      </c>
      <c r="E240" s="99">
        <f ca="1">VLOOKUP(B240,'Warehouse Inventory'!$I$2:$L$643,4,FALSE)</f>
        <v>0</v>
      </c>
      <c r="F240" s="108" t="str">
        <f>IFERROR(VLOOKUP(B240,'Warehouse B'!$I$2:$L$148,4,FALSE),"0")</f>
        <v>0</v>
      </c>
    </row>
    <row r="241" spans="1:6" s="23" customFormat="1">
      <c r="A241" s="77" t="s">
        <v>644</v>
      </c>
      <c r="B241" s="78" t="s">
        <v>368</v>
      </c>
      <c r="C241" s="82">
        <f ca="1">VLOOKUP(B241,PARTS!$G$2:$H$434,2,FALSE)</f>
        <v>0</v>
      </c>
      <c r="D241" s="81">
        <f t="shared" ca="1" si="10"/>
        <v>0</v>
      </c>
      <c r="E241" s="99">
        <f ca="1">VLOOKUP(B241,'Warehouse Inventory'!$I$2:$L$643,4,FALSE)</f>
        <v>0</v>
      </c>
      <c r="F241" s="108" t="str">
        <f>IFERROR(VLOOKUP(B241,'Warehouse B'!$I$2:$L$148,4,FALSE),"0")</f>
        <v>0</v>
      </c>
    </row>
    <row r="242" spans="1:6" s="23" customFormat="1">
      <c r="A242" s="77" t="s">
        <v>645</v>
      </c>
      <c r="B242" s="78" t="s">
        <v>369</v>
      </c>
      <c r="C242" s="82">
        <f ca="1">VLOOKUP(B242,PARTS!$G$2:$H$434,2,FALSE)</f>
        <v>0</v>
      </c>
      <c r="D242" s="81">
        <f t="shared" ca="1" si="10"/>
        <v>0</v>
      </c>
      <c r="E242" s="99">
        <f ca="1">VLOOKUP(B242,'Warehouse Inventory'!$I$2:$L$643,4,FALSE)</f>
        <v>0</v>
      </c>
      <c r="F242" s="108" t="str">
        <f>IFERROR(VLOOKUP(B242,'Warehouse B'!$I$2:$L$148,4,FALSE),"0")</f>
        <v>0</v>
      </c>
    </row>
    <row r="243" spans="1:6" s="23" customFormat="1">
      <c r="A243" s="77" t="s">
        <v>646</v>
      </c>
      <c r="B243" s="78" t="s">
        <v>370</v>
      </c>
      <c r="C243" s="82">
        <f ca="1">VLOOKUP(B243,PARTS!$G$2:$H$434,2,FALSE)</f>
        <v>0</v>
      </c>
      <c r="D243" s="81">
        <f t="shared" ca="1" si="10"/>
        <v>0</v>
      </c>
      <c r="E243" s="99">
        <f ca="1">VLOOKUP(B243,'Warehouse Inventory'!$I$2:$L$643,4,FALSE)</f>
        <v>0</v>
      </c>
      <c r="F243" s="108" t="str">
        <f>IFERROR(VLOOKUP(B243,'Warehouse B'!$I$2:$L$148,4,FALSE),"0")</f>
        <v>0</v>
      </c>
    </row>
    <row r="244" spans="1:6" s="23" customFormat="1">
      <c r="A244" s="77" t="s">
        <v>647</v>
      </c>
      <c r="B244" s="78" t="s">
        <v>371</v>
      </c>
      <c r="C244" s="82">
        <f ca="1">VLOOKUP(B244,PARTS!$G$2:$H$434,2,FALSE)</f>
        <v>8</v>
      </c>
      <c r="D244" s="81">
        <f t="shared" ca="1" si="10"/>
        <v>0</v>
      </c>
      <c r="E244" s="99">
        <f ca="1">VLOOKUP(B244,'Warehouse Inventory'!$I$2:$L$643,4,FALSE)</f>
        <v>0</v>
      </c>
      <c r="F244" s="108" t="str">
        <f>IFERROR(VLOOKUP(B244,'Warehouse B'!$I$2:$L$148,4,FALSE),"0")</f>
        <v>0</v>
      </c>
    </row>
    <row r="245" spans="1:6" s="23" customFormat="1">
      <c r="A245" s="77" t="s">
        <v>647</v>
      </c>
      <c r="B245" s="78" t="s">
        <v>372</v>
      </c>
      <c r="C245" s="82">
        <f ca="1">VLOOKUP(B245,PARTS!$G$2:$H$434,2,FALSE)</f>
        <v>4</v>
      </c>
      <c r="D245" s="81">
        <f t="shared" ca="1" si="10"/>
        <v>4</v>
      </c>
      <c r="E245" s="99">
        <f ca="1">VLOOKUP(B245,'Warehouse Inventory'!$I$2:$L$643,4,FALSE)</f>
        <v>4</v>
      </c>
      <c r="F245" s="108">
        <f ca="1">IFERROR(VLOOKUP(B245,'Warehouse B'!$I$2:$L$148,4,FALSE),"0")</f>
        <v>0</v>
      </c>
    </row>
    <row r="246" spans="1:6" s="23" customFormat="1">
      <c r="A246" s="77" t="s">
        <v>647</v>
      </c>
      <c r="B246" s="78" t="s">
        <v>373</v>
      </c>
      <c r="C246" s="82">
        <f ca="1">VLOOKUP(B246,PARTS!$G$2:$H$434,2,FALSE)</f>
        <v>2</v>
      </c>
      <c r="D246" s="81">
        <f t="shared" ca="1" si="10"/>
        <v>0</v>
      </c>
      <c r="E246" s="99">
        <f ca="1">VLOOKUP(B246,'Warehouse Inventory'!$I$2:$L$643,4,FALSE)</f>
        <v>0</v>
      </c>
      <c r="F246" s="108" t="str">
        <f>IFERROR(VLOOKUP(B246,'Warehouse B'!$I$2:$L$148,4,FALSE),"0")</f>
        <v>0</v>
      </c>
    </row>
    <row r="247" spans="1:6" s="23" customFormat="1">
      <c r="A247" s="77" t="s">
        <v>648</v>
      </c>
      <c r="B247" s="78" t="s">
        <v>374</v>
      </c>
      <c r="C247" s="82">
        <f ca="1">VLOOKUP(B247,PARTS!$G$2:$H$434,2,FALSE)</f>
        <v>0</v>
      </c>
      <c r="D247" s="81">
        <f t="shared" ca="1" si="10"/>
        <v>0</v>
      </c>
      <c r="E247" s="99">
        <f ca="1">VLOOKUP(B247,'Warehouse Inventory'!$I$2:$L$643,4,FALSE)</f>
        <v>0</v>
      </c>
      <c r="F247" s="108" t="str">
        <f>IFERROR(VLOOKUP(B247,'Warehouse B'!$I$2:$L$148,4,FALSE),"0")</f>
        <v>0</v>
      </c>
    </row>
    <row r="248" spans="1:6" s="23" customFormat="1">
      <c r="A248" s="77" t="s">
        <v>648</v>
      </c>
      <c r="B248" s="78" t="s">
        <v>375</v>
      </c>
      <c r="C248" s="82">
        <f ca="1">VLOOKUP(B248,PARTS!$G$2:$H$434,2,FALSE)</f>
        <v>0</v>
      </c>
      <c r="D248" s="81">
        <f t="shared" ca="1" si="10"/>
        <v>0</v>
      </c>
      <c r="E248" s="99">
        <f ca="1">VLOOKUP(B248,'Warehouse Inventory'!$I$2:$L$643,4,FALSE)</f>
        <v>0</v>
      </c>
      <c r="F248" s="108" t="str">
        <f>IFERROR(VLOOKUP(B248,'Warehouse B'!$I$2:$L$148,4,FALSE),"0")</f>
        <v>0</v>
      </c>
    </row>
    <row r="249" spans="1:6" s="23" customFormat="1">
      <c r="A249" s="77" t="s">
        <v>648</v>
      </c>
      <c r="B249" s="78" t="s">
        <v>376</v>
      </c>
      <c r="C249" s="82">
        <f ca="1">VLOOKUP(B249,PARTS!$G$2:$H$434,2,FALSE)</f>
        <v>0</v>
      </c>
      <c r="D249" s="81">
        <f t="shared" ca="1" si="10"/>
        <v>0</v>
      </c>
      <c r="E249" s="99">
        <f ca="1">VLOOKUP(B249,'Warehouse Inventory'!$I$2:$L$643,4,FALSE)</f>
        <v>0</v>
      </c>
      <c r="F249" s="108" t="str">
        <f>IFERROR(VLOOKUP(B249,'Warehouse B'!$I$2:$L$148,4,FALSE),"0")</f>
        <v>0</v>
      </c>
    </row>
    <row r="250" spans="1:6" s="23" customFormat="1">
      <c r="A250" s="77" t="s">
        <v>649</v>
      </c>
      <c r="B250" s="78" t="s">
        <v>377</v>
      </c>
      <c r="C250" s="82">
        <f ca="1">VLOOKUP(B250,PARTS!$G$2:$H$434,2,FALSE)</f>
        <v>0</v>
      </c>
      <c r="D250" s="81">
        <f t="shared" ca="1" si="10"/>
        <v>0</v>
      </c>
      <c r="E250" s="99">
        <f ca="1">VLOOKUP(B250,'Warehouse Inventory'!$I$2:$L$643,4,FALSE)</f>
        <v>0</v>
      </c>
      <c r="F250" s="108" t="str">
        <f>IFERROR(VLOOKUP(B250,'Warehouse B'!$I$2:$L$148,4,FALSE),"0")</f>
        <v>0</v>
      </c>
    </row>
    <row r="251" spans="1:6" s="23" customFormat="1">
      <c r="A251" s="77" t="s">
        <v>649</v>
      </c>
      <c r="B251" s="78" t="s">
        <v>378</v>
      </c>
      <c r="C251" s="82">
        <f ca="1">VLOOKUP(B251,PARTS!$G$2:$H$434,2,FALSE)</f>
        <v>0</v>
      </c>
      <c r="D251" s="81">
        <f t="shared" ca="1" si="10"/>
        <v>0</v>
      </c>
      <c r="E251" s="99">
        <f ca="1">VLOOKUP(B251,'Warehouse Inventory'!$I$2:$L$643,4,FALSE)</f>
        <v>0</v>
      </c>
      <c r="F251" s="108" t="str">
        <f>IFERROR(VLOOKUP(B251,'Warehouse B'!$I$2:$L$148,4,FALSE),"0")</f>
        <v>0</v>
      </c>
    </row>
    <row r="252" spans="1:6" s="23" customFormat="1">
      <c r="A252" s="77" t="s">
        <v>649</v>
      </c>
      <c r="B252" s="78" t="s">
        <v>379</v>
      </c>
      <c r="C252" s="82">
        <f ca="1">VLOOKUP(B252,PARTS!$G$2:$H$434,2,FALSE)</f>
        <v>0</v>
      </c>
      <c r="D252" s="81">
        <f t="shared" ca="1" si="10"/>
        <v>0</v>
      </c>
      <c r="E252" s="99">
        <f ca="1">VLOOKUP(B252,'Warehouse Inventory'!$I$2:$L$643,4,FALSE)</f>
        <v>0</v>
      </c>
      <c r="F252" s="108" t="str">
        <f>IFERROR(VLOOKUP(B252,'Warehouse B'!$I$2:$L$148,4,FALSE),"0")</f>
        <v>0</v>
      </c>
    </row>
    <row r="253" spans="1:6" s="23" customFormat="1">
      <c r="A253" s="77" t="s">
        <v>650</v>
      </c>
      <c r="B253" s="78" t="s">
        <v>380</v>
      </c>
      <c r="C253" s="82">
        <f ca="1">VLOOKUP(B253,PARTS!$G$2:$H$434,2,FALSE)</f>
        <v>0</v>
      </c>
      <c r="D253" s="81">
        <f t="shared" ca="1" si="10"/>
        <v>0</v>
      </c>
      <c r="E253" s="99">
        <f ca="1">VLOOKUP(B253,'Warehouse Inventory'!$I$2:$L$643,4,FALSE)</f>
        <v>0</v>
      </c>
      <c r="F253" s="108" t="str">
        <f>IFERROR(VLOOKUP(B253,'Warehouse B'!$I$2:$L$148,4,FALSE),"0")</f>
        <v>0</v>
      </c>
    </row>
    <row r="254" spans="1:6" s="23" customFormat="1">
      <c r="A254" s="77" t="s">
        <v>650</v>
      </c>
      <c r="B254" s="78" t="s">
        <v>381</v>
      </c>
      <c r="C254" s="82">
        <f ca="1">VLOOKUP(B254,PARTS!$G$2:$H$434,2,FALSE)</f>
        <v>0</v>
      </c>
      <c r="D254" s="81">
        <f t="shared" ca="1" si="10"/>
        <v>0</v>
      </c>
      <c r="E254" s="99">
        <f ca="1">VLOOKUP(B254,'Warehouse Inventory'!$I$2:$L$643,4,FALSE)</f>
        <v>0</v>
      </c>
      <c r="F254" s="108" t="str">
        <f>IFERROR(VLOOKUP(B254,'Warehouse B'!$I$2:$L$148,4,FALSE),"0")</f>
        <v>0</v>
      </c>
    </row>
    <row r="255" spans="1:6" s="23" customFormat="1">
      <c r="A255" s="77" t="s">
        <v>650</v>
      </c>
      <c r="B255" s="78" t="s">
        <v>382</v>
      </c>
      <c r="C255" s="82">
        <f ca="1">VLOOKUP(B255,PARTS!$G$2:$H$434,2,FALSE)</f>
        <v>0</v>
      </c>
      <c r="D255" s="81">
        <f t="shared" ca="1" si="10"/>
        <v>0</v>
      </c>
      <c r="E255" s="99">
        <f ca="1">VLOOKUP(B255,'Warehouse Inventory'!$I$2:$L$643,4,FALSE)</f>
        <v>0</v>
      </c>
      <c r="F255" s="108" t="str">
        <f>IFERROR(VLOOKUP(B255,'Warehouse B'!$I$2:$L$148,4,FALSE),"0")</f>
        <v>0</v>
      </c>
    </row>
    <row r="256" spans="1:6" s="23" customFormat="1">
      <c r="A256" s="77" t="s">
        <v>651</v>
      </c>
      <c r="B256" s="78" t="s">
        <v>383</v>
      </c>
      <c r="C256" s="82">
        <f ca="1">VLOOKUP(B256,PARTS!$G$2:$H$434,2,FALSE)</f>
        <v>29</v>
      </c>
      <c r="D256" s="81">
        <f t="shared" ca="1" si="10"/>
        <v>29.5</v>
      </c>
      <c r="E256" s="99">
        <f ca="1">VLOOKUP(B256,'Warehouse Inventory'!$I$2:$L$643,4,FALSE)</f>
        <v>0</v>
      </c>
      <c r="F256" s="108">
        <f ca="1">IFERROR(VLOOKUP(B256,'Warehouse B'!$I$2:$L$148,4,FALSE),"0")</f>
        <v>29.5</v>
      </c>
    </row>
    <row r="257" spans="1:6" s="23" customFormat="1">
      <c r="A257" s="77" t="s">
        <v>651</v>
      </c>
      <c r="B257" s="78" t="s">
        <v>384</v>
      </c>
      <c r="C257" s="82">
        <f ca="1">VLOOKUP(B257,PARTS!$G$2:$H$434,2,FALSE)</f>
        <v>14</v>
      </c>
      <c r="D257" s="81">
        <f t="shared" ca="1" si="10"/>
        <v>0</v>
      </c>
      <c r="E257" s="99">
        <f ca="1">VLOOKUP(B257,'Warehouse Inventory'!$I$2:$L$643,4,FALSE)</f>
        <v>0</v>
      </c>
      <c r="F257" s="108" t="str">
        <f>IFERROR(VLOOKUP(B257,'Warehouse B'!$I$2:$L$148,4,FALSE),"0")</f>
        <v>0</v>
      </c>
    </row>
    <row r="258" spans="1:6" s="23" customFormat="1">
      <c r="A258" s="77" t="s">
        <v>652</v>
      </c>
      <c r="B258" s="78" t="s">
        <v>385</v>
      </c>
      <c r="C258" s="82">
        <f ca="1">VLOOKUP(B258,PARTS!$G$2:$H$434,2,FALSE)</f>
        <v>0</v>
      </c>
      <c r="D258" s="81">
        <f t="shared" ca="1" si="10"/>
        <v>0</v>
      </c>
      <c r="E258" s="99">
        <f ca="1">VLOOKUP(B258,'Warehouse Inventory'!$I$2:$L$643,4,FALSE)</f>
        <v>0</v>
      </c>
      <c r="F258" s="108" t="str">
        <f>IFERROR(VLOOKUP(B258,'Warehouse B'!$I$2:$L$148,4,FALSE),"0")</f>
        <v>0</v>
      </c>
    </row>
    <row r="259" spans="1:6" s="23" customFormat="1">
      <c r="A259" s="77" t="s">
        <v>653</v>
      </c>
      <c r="B259" s="78" t="s">
        <v>386</v>
      </c>
      <c r="C259" s="82">
        <f ca="1">VLOOKUP(B259,PARTS!$G$2:$H$434,2,FALSE)</f>
        <v>0</v>
      </c>
      <c r="D259" s="81">
        <f t="shared" ca="1" si="10"/>
        <v>0</v>
      </c>
      <c r="E259" s="99">
        <f ca="1">VLOOKUP(B259,'Warehouse Inventory'!$I$2:$L$643,4,FALSE)</f>
        <v>0</v>
      </c>
      <c r="F259" s="108" t="str">
        <f>IFERROR(VLOOKUP(B259,'Warehouse B'!$I$2:$L$148,4,FALSE),"0")</f>
        <v>0</v>
      </c>
    </row>
    <row r="260" spans="1:6" s="23" customFormat="1">
      <c r="A260" s="77" t="s">
        <v>654</v>
      </c>
      <c r="B260" s="78" t="s">
        <v>387</v>
      </c>
      <c r="C260" s="82">
        <f ca="1">VLOOKUP(B260,PARTS!$G$2:$H$434,2,FALSE)</f>
        <v>0</v>
      </c>
      <c r="D260" s="81">
        <f t="shared" ca="1" si="10"/>
        <v>0</v>
      </c>
      <c r="E260" s="99">
        <f ca="1">VLOOKUP(B260,'Warehouse Inventory'!$I$2:$L$643,4,FALSE)</f>
        <v>0</v>
      </c>
      <c r="F260" s="108" t="str">
        <f>IFERROR(VLOOKUP(B260,'Warehouse B'!$I$2:$L$148,4,FALSE),"0")</f>
        <v>0</v>
      </c>
    </row>
    <row r="261" spans="1:6" s="23" customFormat="1">
      <c r="A261" s="77" t="s">
        <v>655</v>
      </c>
      <c r="B261" s="78" t="s">
        <v>388</v>
      </c>
      <c r="C261" s="82">
        <f ca="1">VLOOKUP(B261,PARTS!$G$2:$H$434,2,FALSE)</f>
        <v>0</v>
      </c>
      <c r="D261" s="81">
        <f t="shared" ca="1" si="10"/>
        <v>0</v>
      </c>
      <c r="E261" s="99">
        <f ca="1">VLOOKUP(B261,'Warehouse Inventory'!$I$2:$L$643,4,FALSE)</f>
        <v>0</v>
      </c>
      <c r="F261" s="108" t="str">
        <f>IFERROR(VLOOKUP(B261,'Warehouse B'!$I$2:$L$148,4,FALSE),"0")</f>
        <v>0</v>
      </c>
    </row>
    <row r="262" spans="1:6" s="23" customFormat="1">
      <c r="A262" s="77" t="s">
        <v>656</v>
      </c>
      <c r="B262" s="78" t="s">
        <v>389</v>
      </c>
      <c r="C262" s="82">
        <f ca="1">VLOOKUP(B262,PARTS!$G$2:$H$434,2,FALSE)</f>
        <v>0</v>
      </c>
      <c r="D262" s="81">
        <f t="shared" ca="1" si="10"/>
        <v>0</v>
      </c>
      <c r="E262" s="99">
        <f ca="1">VLOOKUP(B262,'Warehouse Inventory'!$I$2:$L$643,4,FALSE)</f>
        <v>0</v>
      </c>
      <c r="F262" s="108" t="str">
        <f>IFERROR(VLOOKUP(B262,'Warehouse B'!$I$2:$L$148,4,FALSE),"0")</f>
        <v>0</v>
      </c>
    </row>
    <row r="263" spans="1:6" s="23" customFormat="1">
      <c r="A263" s="77" t="s">
        <v>581</v>
      </c>
      <c r="B263" s="78" t="s">
        <v>133</v>
      </c>
      <c r="C263" s="82">
        <f ca="1">VLOOKUP(B263,PARTS!$G$2:$H$434,2,FALSE)</f>
        <v>10</v>
      </c>
      <c r="D263" s="81">
        <f t="shared" ca="1" si="10"/>
        <v>0</v>
      </c>
      <c r="E263" s="99">
        <f ca="1">VLOOKUP(B263,'Warehouse Inventory'!$I$2:$L$643,4,FALSE)</f>
        <v>0</v>
      </c>
      <c r="F263" s="108" t="str">
        <f>IFERROR(VLOOKUP(B263,'Warehouse B'!$I$2:$L$148,4,FALSE),"0")</f>
        <v>0</v>
      </c>
    </row>
    <row r="264" spans="1:6" s="23" customFormat="1">
      <c r="A264" s="77" t="s">
        <v>581</v>
      </c>
      <c r="B264" s="78" t="s">
        <v>134</v>
      </c>
      <c r="C264" s="82">
        <f ca="1">VLOOKUP(B264,PARTS!$G$2:$H$434,2,FALSE)</f>
        <v>5</v>
      </c>
      <c r="D264" s="81">
        <f t="shared" ref="D264:D327" ca="1" si="13">E264+F264</f>
        <v>1</v>
      </c>
      <c r="E264" s="99">
        <f ca="1">VLOOKUP(B264,'Warehouse Inventory'!$I$2:$L$643,4,FALSE)</f>
        <v>1</v>
      </c>
      <c r="F264" s="108" t="str">
        <f>IFERROR(VLOOKUP(B264,'Warehouse B'!$I$2:$L$148,4,FALSE),"0")</f>
        <v>0</v>
      </c>
    </row>
    <row r="265" spans="1:6" s="23" customFormat="1">
      <c r="A265" s="77" t="s">
        <v>581</v>
      </c>
      <c r="B265" s="78" t="s">
        <v>699</v>
      </c>
      <c r="C265" s="82">
        <f ca="1">VLOOKUP(B265,PARTS!$G$2:$H$434,2,FALSE)</f>
        <v>2</v>
      </c>
      <c r="D265" s="81">
        <f t="shared" ca="1" si="13"/>
        <v>2</v>
      </c>
      <c r="E265" s="99">
        <f ca="1">VLOOKUP(B265,'Warehouse Inventory'!$I$2:$L$643,4,FALSE)</f>
        <v>2</v>
      </c>
      <c r="F265" s="108" t="str">
        <f>IFERROR(VLOOKUP(B265,'Warehouse B'!$I$2:$L$148,4,FALSE),"0")</f>
        <v>0</v>
      </c>
    </row>
    <row r="266" spans="1:6" s="23" customFormat="1">
      <c r="A266" s="77" t="s">
        <v>582</v>
      </c>
      <c r="B266" s="78" t="s">
        <v>135</v>
      </c>
      <c r="C266" s="82">
        <f ca="1">VLOOKUP(B266,PARTS!$G$2:$H$434,2,FALSE)</f>
        <v>30</v>
      </c>
      <c r="D266" s="81">
        <f t="shared" ca="1" si="13"/>
        <v>0</v>
      </c>
      <c r="E266" s="99">
        <f ca="1">VLOOKUP(B266,'Warehouse Inventory'!$I$2:$L$643,4,FALSE)</f>
        <v>0</v>
      </c>
      <c r="F266" s="108" t="str">
        <f>IFERROR(VLOOKUP(B266,'Warehouse B'!$I$2:$L$148,4,FALSE),"0")</f>
        <v>0</v>
      </c>
    </row>
    <row r="267" spans="1:6" s="23" customFormat="1">
      <c r="A267" s="77" t="s">
        <v>583</v>
      </c>
      <c r="B267" s="78" t="s">
        <v>136</v>
      </c>
      <c r="C267" s="82">
        <f ca="1">VLOOKUP(B267,PARTS!$G$2:$H$434,2,FALSE)</f>
        <v>30</v>
      </c>
      <c r="D267" s="81">
        <f t="shared" ca="1" si="13"/>
        <v>0</v>
      </c>
      <c r="E267" s="99">
        <f ca="1">VLOOKUP(B267,'Warehouse Inventory'!$I$2:$L$643,4,FALSE)</f>
        <v>0</v>
      </c>
      <c r="F267" s="108" t="str">
        <f>IFERROR(VLOOKUP(B267,'Warehouse B'!$I$2:$L$148,4,FALSE),"0")</f>
        <v>0</v>
      </c>
    </row>
    <row r="268" spans="1:6" s="23" customFormat="1">
      <c r="A268" s="77" t="s">
        <v>584</v>
      </c>
      <c r="B268" s="78" t="s">
        <v>137</v>
      </c>
      <c r="C268" s="82">
        <f ca="1">VLOOKUP(B268,PARTS!$G$2:$H$434,2,FALSE)</f>
        <v>30</v>
      </c>
      <c r="D268" s="81">
        <f t="shared" ca="1" si="13"/>
        <v>0</v>
      </c>
      <c r="E268" s="99">
        <f ca="1">VLOOKUP(B268,'Warehouse Inventory'!$I$2:$L$643,4,FALSE)</f>
        <v>0</v>
      </c>
      <c r="F268" s="108" t="str">
        <f>IFERROR(VLOOKUP(B268,'Warehouse B'!$I$2:$L$148,4,FALSE),"0")</f>
        <v>0</v>
      </c>
    </row>
    <row r="269" spans="1:6" s="23" customFormat="1">
      <c r="A269" s="77" t="s">
        <v>585</v>
      </c>
      <c r="B269" s="78" t="s">
        <v>138</v>
      </c>
      <c r="C269" s="82">
        <f ca="1">VLOOKUP(B269,PARTS!$G$2:$H$434,2,FALSE)</f>
        <v>28</v>
      </c>
      <c r="D269" s="81">
        <f t="shared" ca="1" si="13"/>
        <v>0</v>
      </c>
      <c r="E269" s="99">
        <f ca="1">VLOOKUP(B269,'Warehouse Inventory'!$I$2:$L$643,4,FALSE)</f>
        <v>0</v>
      </c>
      <c r="F269" s="108" t="str">
        <f>IFERROR(VLOOKUP(B269,'Warehouse B'!$I$2:$L$148,4,FALSE),"0")</f>
        <v>0</v>
      </c>
    </row>
    <row r="270" spans="1:6" s="23" customFormat="1">
      <c r="A270" s="77" t="s">
        <v>586</v>
      </c>
      <c r="B270" s="78" t="s">
        <v>139</v>
      </c>
      <c r="C270" s="82">
        <f ca="1">VLOOKUP(B270,PARTS!$G$2:$H$434,2,FALSE)</f>
        <v>30</v>
      </c>
      <c r="D270" s="81">
        <f t="shared" ca="1" si="13"/>
        <v>0</v>
      </c>
      <c r="E270" s="99">
        <f ca="1">VLOOKUP(B270,'Warehouse Inventory'!$I$2:$L$643,4,FALSE)</f>
        <v>0</v>
      </c>
      <c r="F270" s="108" t="str">
        <f>IFERROR(VLOOKUP(B270,'Warehouse B'!$I$2:$L$148,4,FALSE),"0")</f>
        <v>0</v>
      </c>
    </row>
    <row r="271" spans="1:6" s="23" customFormat="1">
      <c r="A271" s="77" t="s">
        <v>587</v>
      </c>
      <c r="B271" s="78" t="s">
        <v>140</v>
      </c>
      <c r="C271" s="82">
        <f ca="1">VLOOKUP(B271,PARTS!$G$2:$H$434,2,FALSE)</f>
        <v>30</v>
      </c>
      <c r="D271" s="81">
        <f t="shared" ca="1" si="13"/>
        <v>0</v>
      </c>
      <c r="E271" s="99">
        <f ca="1">VLOOKUP(B271,'Warehouse Inventory'!$I$2:$L$643,4,FALSE)</f>
        <v>0</v>
      </c>
      <c r="F271" s="108" t="str">
        <f>IFERROR(VLOOKUP(B271,'Warehouse B'!$I$2:$L$148,4,FALSE),"0")</f>
        <v>0</v>
      </c>
    </row>
    <row r="272" spans="1:6" s="23" customFormat="1">
      <c r="A272" s="77" t="s">
        <v>582</v>
      </c>
      <c r="B272" s="78" t="s">
        <v>141</v>
      </c>
      <c r="C272" s="82">
        <f ca="1">VLOOKUP(B272,PARTS!$G$2:$H$434,2,FALSE)</f>
        <v>15</v>
      </c>
      <c r="D272" s="81">
        <f t="shared" ca="1" si="13"/>
        <v>0</v>
      </c>
      <c r="E272" s="99">
        <f ca="1">VLOOKUP(B272,'Warehouse Inventory'!$I$2:$L$643,4,FALSE)</f>
        <v>0</v>
      </c>
      <c r="F272" s="108" t="str">
        <f>IFERROR(VLOOKUP(B272,'Warehouse B'!$I$2:$L$148,4,FALSE),"0")</f>
        <v>0</v>
      </c>
    </row>
    <row r="273" spans="1:6" s="23" customFormat="1">
      <c r="A273" s="77" t="s">
        <v>583</v>
      </c>
      <c r="B273" s="78" t="s">
        <v>142</v>
      </c>
      <c r="C273" s="82">
        <f ca="1">VLOOKUP(B273,PARTS!$G$2:$H$434,2,FALSE)</f>
        <v>15</v>
      </c>
      <c r="D273" s="81">
        <f t="shared" ca="1" si="13"/>
        <v>0</v>
      </c>
      <c r="E273" s="99">
        <f ca="1">VLOOKUP(B273,'Warehouse Inventory'!$I$2:$L$643,4,FALSE)</f>
        <v>0</v>
      </c>
      <c r="F273" s="108" t="str">
        <f>IFERROR(VLOOKUP(B273,'Warehouse B'!$I$2:$L$148,4,FALSE),"0")</f>
        <v>0</v>
      </c>
    </row>
    <row r="274" spans="1:6" s="23" customFormat="1">
      <c r="A274" s="77" t="s">
        <v>584</v>
      </c>
      <c r="B274" s="78" t="s">
        <v>143</v>
      </c>
      <c r="C274" s="82">
        <f ca="1">VLOOKUP(B274,PARTS!$G$2:$H$434,2,FALSE)</f>
        <v>15</v>
      </c>
      <c r="D274" s="81">
        <f t="shared" ca="1" si="13"/>
        <v>2</v>
      </c>
      <c r="E274" s="99">
        <f ca="1">VLOOKUP(B274,'Warehouse Inventory'!$I$2:$L$643,4,FALSE)</f>
        <v>0</v>
      </c>
      <c r="F274" s="108">
        <f ca="1">IFERROR(VLOOKUP(B274,'Warehouse B'!$I$2:$L$148,4,FALSE),"0")</f>
        <v>2</v>
      </c>
    </row>
    <row r="275" spans="1:6" s="23" customFormat="1">
      <c r="A275" s="77" t="s">
        <v>585</v>
      </c>
      <c r="B275" s="78" t="s">
        <v>144</v>
      </c>
      <c r="C275" s="82">
        <f ca="1">VLOOKUP(B275,PARTS!$G$2:$H$434,2,FALSE)</f>
        <v>14</v>
      </c>
      <c r="D275" s="81">
        <f t="shared" ca="1" si="13"/>
        <v>0</v>
      </c>
      <c r="E275" s="99">
        <f ca="1">VLOOKUP(B275,'Warehouse Inventory'!$I$2:$L$643,4,FALSE)</f>
        <v>0</v>
      </c>
      <c r="F275" s="108" t="str">
        <f>IFERROR(VLOOKUP(B275,'Warehouse B'!$I$2:$L$148,4,FALSE),"0")</f>
        <v>0</v>
      </c>
    </row>
    <row r="276" spans="1:6" s="23" customFormat="1">
      <c r="A276" s="77" t="s">
        <v>586</v>
      </c>
      <c r="B276" s="78" t="s">
        <v>145</v>
      </c>
      <c r="C276" s="82">
        <f ca="1">VLOOKUP(B276,PARTS!$G$2:$H$434,2,FALSE)</f>
        <v>15</v>
      </c>
      <c r="D276" s="81">
        <f t="shared" ca="1" si="13"/>
        <v>2</v>
      </c>
      <c r="E276" s="99">
        <f ca="1">VLOOKUP(B276,'Warehouse Inventory'!$I$2:$L$643,4,FALSE)</f>
        <v>0</v>
      </c>
      <c r="F276" s="108">
        <f ca="1">IFERROR(VLOOKUP(B276,'Warehouse B'!$I$2:$L$148,4,FALSE),"0")</f>
        <v>2</v>
      </c>
    </row>
    <row r="277" spans="1:6" s="23" customFormat="1">
      <c r="A277" s="77" t="s">
        <v>587</v>
      </c>
      <c r="B277" s="78" t="s">
        <v>146</v>
      </c>
      <c r="C277" s="82">
        <f ca="1">VLOOKUP(B277,PARTS!$G$2:$H$434,2,FALSE)</f>
        <v>15</v>
      </c>
      <c r="D277" s="81">
        <f t="shared" ca="1" si="13"/>
        <v>11</v>
      </c>
      <c r="E277" s="99">
        <f ca="1">VLOOKUP(B277,'Warehouse Inventory'!$I$2:$L$643,4,FALSE)</f>
        <v>0</v>
      </c>
      <c r="F277" s="108">
        <f ca="1">IFERROR(VLOOKUP(B277,'Warehouse B'!$I$2:$L$148,4,FALSE),"0")</f>
        <v>11</v>
      </c>
    </row>
    <row r="278" spans="1:6" s="23" customFormat="1">
      <c r="A278" s="77" t="s">
        <v>588</v>
      </c>
      <c r="B278" s="78" t="s">
        <v>390</v>
      </c>
      <c r="C278" s="82">
        <f ca="1">VLOOKUP(B278,PARTS!$G$2:$H$434,2,FALSE)</f>
        <v>129</v>
      </c>
      <c r="D278" s="81">
        <f t="shared" ca="1" si="13"/>
        <v>60</v>
      </c>
      <c r="E278" s="99">
        <f ca="1">VLOOKUP(B278,'Warehouse Inventory'!$I$2:$L$643,4,FALSE)</f>
        <v>2</v>
      </c>
      <c r="F278" s="108">
        <f ca="1">IFERROR(VLOOKUP(B278,'Warehouse B'!$I$2:$L$148,4,FALSE),"0")</f>
        <v>58</v>
      </c>
    </row>
    <row r="279" spans="1:6" s="23" customFormat="1">
      <c r="A279" s="77" t="s">
        <v>589</v>
      </c>
      <c r="B279" s="78" t="s">
        <v>391</v>
      </c>
      <c r="C279" s="82">
        <f ca="1">VLOOKUP(B279,PARTS!$G$2:$H$434,2,FALSE)</f>
        <v>72</v>
      </c>
      <c r="D279" s="81">
        <f t="shared" ca="1" si="13"/>
        <v>20</v>
      </c>
      <c r="E279" s="99">
        <f ca="1">VLOOKUP(B279,'Warehouse Inventory'!$I$2:$L$643,4,FALSE)</f>
        <v>2</v>
      </c>
      <c r="F279" s="108">
        <f ca="1">IFERROR(VLOOKUP(B279,'Warehouse B'!$I$2:$L$148,4,FALSE),"0")</f>
        <v>18</v>
      </c>
    </row>
    <row r="280" spans="1:6" s="23" customFormat="1">
      <c r="A280" s="77" t="s">
        <v>590</v>
      </c>
      <c r="B280" s="78" t="s">
        <v>392</v>
      </c>
      <c r="C280" s="82">
        <f ca="1">VLOOKUP(B280,PARTS!$G$2:$H$434,2,FALSE)</f>
        <v>56</v>
      </c>
      <c r="D280" s="81">
        <f t="shared" ca="1" si="13"/>
        <v>0</v>
      </c>
      <c r="E280" s="99">
        <f ca="1">VLOOKUP(B280,'Warehouse Inventory'!$I$2:$L$643,4,FALSE)</f>
        <v>0</v>
      </c>
      <c r="F280" s="108" t="str">
        <f>IFERROR(VLOOKUP(B280,'Warehouse B'!$I$2:$L$148,4,FALSE),"0")</f>
        <v>0</v>
      </c>
    </row>
    <row r="281" spans="1:6" s="23" customFormat="1">
      <c r="A281" s="77" t="s">
        <v>716</v>
      </c>
      <c r="B281" s="78" t="s">
        <v>716</v>
      </c>
      <c r="C281" s="82">
        <f ca="1">VLOOKUP(B281,PARTS!$G$2:$H$434,2,FALSE)</f>
        <v>28</v>
      </c>
      <c r="D281" s="81">
        <f t="shared" ca="1" si="13"/>
        <v>0</v>
      </c>
      <c r="E281" s="99">
        <f ca="1">VLOOKUP(B281,'Warehouse Inventory'!$I$2:$L$643,4,FALSE)</f>
        <v>0</v>
      </c>
      <c r="F281" s="108" t="str">
        <f>IFERROR(VLOOKUP(B281,'Warehouse B'!$I$2:$L$148,4,FALSE),"0")</f>
        <v>0</v>
      </c>
    </row>
    <row r="282" spans="1:6" s="23" customFormat="1">
      <c r="A282" s="77" t="s">
        <v>592</v>
      </c>
      <c r="B282" s="78" t="s">
        <v>393</v>
      </c>
      <c r="C282" s="82">
        <f ca="1">VLOOKUP(B282,PARTS!$G$2:$H$434,2,FALSE)</f>
        <v>69</v>
      </c>
      <c r="D282" s="81">
        <f t="shared" ca="1" si="13"/>
        <v>10</v>
      </c>
      <c r="E282" s="99">
        <f ca="1">VLOOKUP(B282,'Warehouse Inventory'!$I$2:$L$643,4,FALSE)</f>
        <v>10</v>
      </c>
      <c r="F282" s="108" t="str">
        <f>IFERROR(VLOOKUP(B282,'Warehouse B'!$I$2:$L$148,4,FALSE),"0")</f>
        <v>0</v>
      </c>
    </row>
    <row r="283" spans="1:6" s="23" customFormat="1">
      <c r="A283" s="77" t="s">
        <v>593</v>
      </c>
      <c r="B283" s="78" t="s">
        <v>394</v>
      </c>
      <c r="C283" s="82">
        <f ca="1">VLOOKUP(B283,PARTS!$G$2:$H$434,2,FALSE)</f>
        <v>77</v>
      </c>
      <c r="D283" s="81">
        <f t="shared" ca="1" si="13"/>
        <v>5</v>
      </c>
      <c r="E283" s="99">
        <f ca="1">VLOOKUP(B283,'Warehouse Inventory'!$I$2:$L$643,4,FALSE)</f>
        <v>-1</v>
      </c>
      <c r="F283" s="108">
        <f ca="1">IFERROR(VLOOKUP(B283,'Warehouse B'!$I$2:$L$148,4,FALSE),"0")</f>
        <v>6</v>
      </c>
    </row>
    <row r="284" spans="1:6" s="23" customFormat="1">
      <c r="A284" s="77" t="s">
        <v>588</v>
      </c>
      <c r="B284" s="78" t="s">
        <v>147</v>
      </c>
      <c r="C284" s="82">
        <f ca="1">VLOOKUP(B284,PARTS!$G$2:$H$434,2,FALSE)</f>
        <v>64</v>
      </c>
      <c r="D284" s="81">
        <f t="shared" ca="1" si="13"/>
        <v>33</v>
      </c>
      <c r="E284" s="99">
        <f ca="1">VLOOKUP(B284,'Warehouse Inventory'!$I$2:$L$643,4,FALSE)</f>
        <v>16</v>
      </c>
      <c r="F284" s="108">
        <f ca="1">IFERROR(VLOOKUP(B284,'Warehouse B'!$I$2:$L$148,4,FALSE),"0")</f>
        <v>17</v>
      </c>
    </row>
    <row r="285" spans="1:6" s="23" customFormat="1">
      <c r="A285" s="77" t="s">
        <v>589</v>
      </c>
      <c r="B285" s="78" t="s">
        <v>148</v>
      </c>
      <c r="C285" s="82">
        <f ca="1">VLOOKUP(B285,PARTS!$G$2:$H$434,2,FALSE)</f>
        <v>36</v>
      </c>
      <c r="D285" s="81">
        <f t="shared" ca="1" si="13"/>
        <v>26</v>
      </c>
      <c r="E285" s="99">
        <f ca="1">VLOOKUP(B285,'Warehouse Inventory'!$I$2:$L$643,4,FALSE)</f>
        <v>5</v>
      </c>
      <c r="F285" s="108">
        <f ca="1">IFERROR(VLOOKUP(B285,'Warehouse B'!$I$2:$L$148,4,FALSE),"0")</f>
        <v>21</v>
      </c>
    </row>
    <row r="286" spans="1:6" s="23" customFormat="1">
      <c r="A286" s="77" t="s">
        <v>590</v>
      </c>
      <c r="B286" s="78" t="s">
        <v>149</v>
      </c>
      <c r="C286" s="82">
        <f ca="1">VLOOKUP(B286,PARTS!$G$2:$H$434,2,FALSE)</f>
        <v>28</v>
      </c>
      <c r="D286" s="81">
        <f t="shared" ca="1" si="13"/>
        <v>26</v>
      </c>
      <c r="E286" s="99">
        <f ca="1">VLOOKUP(B286,'Warehouse Inventory'!$I$2:$L$643,4,FALSE)</f>
        <v>0</v>
      </c>
      <c r="F286" s="108">
        <f ca="1">IFERROR(VLOOKUP(B286,'Warehouse B'!$I$2:$L$148,4,FALSE),"0")</f>
        <v>26</v>
      </c>
    </row>
    <row r="287" spans="1:6" s="23" customFormat="1">
      <c r="A287" s="77" t="s">
        <v>591</v>
      </c>
      <c r="B287" s="78" t="s">
        <v>150</v>
      </c>
      <c r="C287" s="82">
        <f ca="1">VLOOKUP(B287,PARTS!$G$2:$H$434,2,FALSE)</f>
        <v>14</v>
      </c>
      <c r="D287" s="81">
        <f t="shared" ca="1" si="13"/>
        <v>14</v>
      </c>
      <c r="E287" s="99">
        <f ca="1">VLOOKUP(B287,'Warehouse Inventory'!$I$2:$L$643,4,FALSE)</f>
        <v>0</v>
      </c>
      <c r="F287" s="108">
        <f ca="1">IFERROR(VLOOKUP(B287,'Warehouse B'!$I$2:$L$148,4,FALSE),"0")</f>
        <v>14</v>
      </c>
    </row>
    <row r="288" spans="1:6" s="23" customFormat="1">
      <c r="A288" s="77" t="s">
        <v>592</v>
      </c>
      <c r="B288" s="78" t="s">
        <v>151</v>
      </c>
      <c r="C288" s="82">
        <f ca="1">VLOOKUP(B288,PARTS!$G$2:$H$434,2,FALSE)</f>
        <v>34</v>
      </c>
      <c r="D288" s="81">
        <f t="shared" ca="1" si="13"/>
        <v>27.5</v>
      </c>
      <c r="E288" s="99">
        <f ca="1">VLOOKUP(B288,'Warehouse Inventory'!$I$2:$L$643,4,FALSE)</f>
        <v>1</v>
      </c>
      <c r="F288" s="108">
        <f ca="1">IFERROR(VLOOKUP(B288,'Warehouse B'!$I$2:$L$148,4,FALSE),"0")</f>
        <v>26.5</v>
      </c>
    </row>
    <row r="289" spans="1:6" s="23" customFormat="1">
      <c r="A289" s="77" t="s">
        <v>593</v>
      </c>
      <c r="B289" s="78" t="s">
        <v>152</v>
      </c>
      <c r="C289" s="82">
        <f ca="1">VLOOKUP(B289,PARTS!$G$2:$H$434,2,FALSE)</f>
        <v>38</v>
      </c>
      <c r="D289" s="81">
        <f t="shared" ca="1" si="13"/>
        <v>15</v>
      </c>
      <c r="E289" s="99">
        <f ca="1">VLOOKUP(B289,'Warehouse Inventory'!$I$2:$L$643,4,FALSE)</f>
        <v>1</v>
      </c>
      <c r="F289" s="108">
        <f ca="1">IFERROR(VLOOKUP(B289,'Warehouse B'!$I$2:$L$148,4,FALSE),"0")</f>
        <v>14</v>
      </c>
    </row>
    <row r="290" spans="1:6" s="23" customFormat="1">
      <c r="A290" s="77" t="s">
        <v>588</v>
      </c>
      <c r="B290" s="78" t="s">
        <v>153</v>
      </c>
      <c r="C290" s="82">
        <f ca="1">VLOOKUP(B290,PARTS!$G$2:$H$434,2,FALSE)</f>
        <v>43</v>
      </c>
      <c r="D290" s="81">
        <f t="shared" ca="1" si="13"/>
        <v>0</v>
      </c>
      <c r="E290" s="99">
        <f ca="1">VLOOKUP(B290,'Warehouse Inventory'!$I$2:$L$643,4,FALSE)</f>
        <v>0</v>
      </c>
      <c r="F290" s="108" t="str">
        <f>IFERROR(VLOOKUP(B290,'Warehouse B'!$I$2:$L$148,4,FALSE),"0")</f>
        <v>0</v>
      </c>
    </row>
    <row r="291" spans="1:6" s="23" customFormat="1">
      <c r="A291" s="77" t="s">
        <v>589</v>
      </c>
      <c r="B291" s="78" t="s">
        <v>154</v>
      </c>
      <c r="C291" s="82">
        <f ca="1">VLOOKUP(B291,PARTS!$G$2:$H$434,2,FALSE)</f>
        <v>24</v>
      </c>
      <c r="D291" s="81">
        <f t="shared" ca="1" si="13"/>
        <v>0</v>
      </c>
      <c r="E291" s="99">
        <f ca="1">VLOOKUP(B291,'Warehouse Inventory'!$I$2:$L$643,4,FALSE)</f>
        <v>0</v>
      </c>
      <c r="F291" s="108" t="str">
        <f>IFERROR(VLOOKUP(B291,'Warehouse B'!$I$2:$L$148,4,FALSE),"0")</f>
        <v>0</v>
      </c>
    </row>
    <row r="292" spans="1:6" s="23" customFormat="1">
      <c r="A292" s="77" t="s">
        <v>590</v>
      </c>
      <c r="B292" s="78" t="s">
        <v>155</v>
      </c>
      <c r="C292" s="82">
        <f ca="1">VLOOKUP(B292,PARTS!$G$2:$H$434,2,FALSE)</f>
        <v>18</v>
      </c>
      <c r="D292" s="81">
        <f t="shared" ca="1" si="13"/>
        <v>0</v>
      </c>
      <c r="E292" s="99">
        <f ca="1">VLOOKUP(B292,'Warehouse Inventory'!$I$2:$L$643,4,FALSE)</f>
        <v>0</v>
      </c>
      <c r="F292" s="108" t="str">
        <f>IFERROR(VLOOKUP(B292,'Warehouse B'!$I$2:$L$148,4,FALSE),"0")</f>
        <v>0</v>
      </c>
    </row>
    <row r="293" spans="1:6" s="23" customFormat="1">
      <c r="A293" s="77" t="s">
        <v>591</v>
      </c>
      <c r="B293" s="78" t="s">
        <v>156</v>
      </c>
      <c r="C293" s="82">
        <f ca="1">VLOOKUP(B293,PARTS!$G$2:$H$434,2,FALSE)</f>
        <v>9</v>
      </c>
      <c r="D293" s="81">
        <f t="shared" ca="1" si="13"/>
        <v>0</v>
      </c>
      <c r="E293" s="99">
        <f ca="1">VLOOKUP(B293,'Warehouse Inventory'!$I$2:$L$643,4,FALSE)</f>
        <v>0</v>
      </c>
      <c r="F293" s="108" t="str">
        <f>IFERROR(VLOOKUP(B293,'Warehouse B'!$I$2:$L$148,4,FALSE),"0")</f>
        <v>0</v>
      </c>
    </row>
    <row r="294" spans="1:6" s="23" customFormat="1">
      <c r="A294" s="77" t="s">
        <v>592</v>
      </c>
      <c r="B294" s="78" t="s">
        <v>157</v>
      </c>
      <c r="C294" s="82">
        <f ca="1">VLOOKUP(B294,PARTS!$G$2:$H$434,2,FALSE)</f>
        <v>23</v>
      </c>
      <c r="D294" s="81">
        <f t="shared" ca="1" si="13"/>
        <v>0</v>
      </c>
      <c r="E294" s="99">
        <f ca="1">VLOOKUP(B294,'Warehouse Inventory'!$I$2:$L$643,4,FALSE)</f>
        <v>0</v>
      </c>
      <c r="F294" s="108" t="str">
        <f>IFERROR(VLOOKUP(B294,'Warehouse B'!$I$2:$L$148,4,FALSE),"0")</f>
        <v>0</v>
      </c>
    </row>
    <row r="295" spans="1:6" s="23" customFormat="1">
      <c r="A295" s="77" t="s">
        <v>593</v>
      </c>
      <c r="B295" s="78" t="s">
        <v>158</v>
      </c>
      <c r="C295" s="82">
        <f ca="1">VLOOKUP(B295,PARTS!$G$2:$H$434,2,FALSE)</f>
        <v>25</v>
      </c>
      <c r="D295" s="81">
        <f t="shared" ca="1" si="13"/>
        <v>6</v>
      </c>
      <c r="E295" s="99">
        <f ca="1">VLOOKUP(B295,'Warehouse Inventory'!$I$2:$L$643,4,FALSE)</f>
        <v>0</v>
      </c>
      <c r="F295" s="108">
        <f ca="1">IFERROR(VLOOKUP(B295,'Warehouse B'!$I$2:$L$148,4,FALSE),"0")</f>
        <v>6</v>
      </c>
    </row>
    <row r="296" spans="1:6" s="23" customFormat="1">
      <c r="A296" s="77" t="s">
        <v>594</v>
      </c>
      <c r="B296" s="78" t="s">
        <v>395</v>
      </c>
      <c r="C296" s="82">
        <f ca="1">VLOOKUP(B296,PARTS!$G$2:$H$434,2,FALSE)</f>
        <v>50</v>
      </c>
      <c r="D296" s="81">
        <f t="shared" ca="1" si="13"/>
        <v>6</v>
      </c>
      <c r="E296" s="99">
        <f ca="1">VLOOKUP(B296,'Warehouse Inventory'!$I$2:$L$643,4,FALSE)</f>
        <v>0</v>
      </c>
      <c r="F296" s="108">
        <f ca="1">IFERROR(VLOOKUP(B296,'Warehouse B'!$I$2:$L$148,4,FALSE),"0")</f>
        <v>6</v>
      </c>
    </row>
    <row r="297" spans="1:6">
      <c r="A297" s="77" t="s">
        <v>595</v>
      </c>
      <c r="B297" s="78" t="s">
        <v>396</v>
      </c>
      <c r="C297" s="82">
        <f ca="1">VLOOKUP(B297,PARTS!$G$2:$H$434,2,FALSE)</f>
        <v>50</v>
      </c>
      <c r="D297" s="81">
        <f t="shared" ca="1" si="13"/>
        <v>0</v>
      </c>
      <c r="E297" s="99">
        <f ca="1">VLOOKUP(B297,'Warehouse Inventory'!$I$2:$L$643,4,FALSE)</f>
        <v>0</v>
      </c>
      <c r="F297" s="108" t="str">
        <f>IFERROR(VLOOKUP(B297,'Warehouse B'!$I$2:$L$148,4,FALSE),"0")</f>
        <v>0</v>
      </c>
    </row>
    <row r="298" spans="1:6">
      <c r="A298" s="77" t="s">
        <v>596</v>
      </c>
      <c r="B298" s="78" t="s">
        <v>397</v>
      </c>
      <c r="C298" s="82">
        <f ca="1">VLOOKUP(B298,PARTS!$G$2:$H$434,2,FALSE)</f>
        <v>50</v>
      </c>
      <c r="D298" s="81">
        <f t="shared" ca="1" si="13"/>
        <v>0</v>
      </c>
      <c r="E298" s="99">
        <f ca="1">VLOOKUP(B298,'Warehouse Inventory'!$I$2:$L$643,4,FALSE)</f>
        <v>0</v>
      </c>
      <c r="F298" s="108" t="str">
        <f>IFERROR(VLOOKUP(B298,'Warehouse B'!$I$2:$L$148,4,FALSE),"0")</f>
        <v>0</v>
      </c>
    </row>
    <row r="299" spans="1:6">
      <c r="A299" s="77" t="s">
        <v>597</v>
      </c>
      <c r="B299" s="78" t="s">
        <v>398</v>
      </c>
      <c r="C299" s="82">
        <f ca="1">VLOOKUP(B299,PARTS!$G$2:$H$434,2,FALSE)</f>
        <v>28</v>
      </c>
      <c r="D299" s="81">
        <f t="shared" ca="1" si="13"/>
        <v>0</v>
      </c>
      <c r="E299" s="99">
        <f ca="1">VLOOKUP(B299,'Warehouse Inventory'!$I$2:$L$643,4,FALSE)</f>
        <v>0</v>
      </c>
      <c r="F299" s="108" t="str">
        <f>IFERROR(VLOOKUP(B299,'Warehouse B'!$I$2:$L$148,4,FALSE),"0")</f>
        <v>0</v>
      </c>
    </row>
    <row r="300" spans="1:6">
      <c r="A300" s="77" t="s">
        <v>598</v>
      </c>
      <c r="B300" s="78" t="s">
        <v>399</v>
      </c>
      <c r="C300" s="82">
        <f ca="1">VLOOKUP(B300,PARTS!$G$2:$H$434,2,FALSE)</f>
        <v>50</v>
      </c>
      <c r="D300" s="81">
        <f t="shared" ca="1" si="13"/>
        <v>0</v>
      </c>
      <c r="E300" s="99">
        <f ca="1">VLOOKUP(B300,'Warehouse Inventory'!$I$2:$L$643,4,FALSE)</f>
        <v>0</v>
      </c>
      <c r="F300" s="108" t="str">
        <f>IFERROR(VLOOKUP(B300,'Warehouse B'!$I$2:$L$148,4,FALSE),"0")</f>
        <v>0</v>
      </c>
    </row>
    <row r="301" spans="1:6">
      <c r="A301" s="77" t="s">
        <v>717</v>
      </c>
      <c r="B301" s="78" t="s">
        <v>717</v>
      </c>
      <c r="C301" s="82">
        <f ca="1">VLOOKUP(B301,PARTS!$G$2:$H$434,2,FALSE)</f>
        <v>50</v>
      </c>
      <c r="D301" s="81">
        <f t="shared" ca="1" si="13"/>
        <v>0</v>
      </c>
      <c r="E301" s="99">
        <f ca="1">VLOOKUP(B301,'Warehouse Inventory'!$I$2:$L$643,4,FALSE)</f>
        <v>0</v>
      </c>
      <c r="F301" s="108">
        <f ca="1">IFERROR(VLOOKUP(B301,'Warehouse B'!$I$2:$L$148,4,FALSE),"0")</f>
        <v>0</v>
      </c>
    </row>
    <row r="302" spans="1:6">
      <c r="A302" s="77" t="s">
        <v>594</v>
      </c>
      <c r="B302" s="78" t="s">
        <v>400</v>
      </c>
      <c r="C302" s="82">
        <f ca="1">VLOOKUP(B302,PARTS!$G$2:$H$434,2,FALSE)</f>
        <v>25</v>
      </c>
      <c r="D302" s="81">
        <f t="shared" ca="1" si="13"/>
        <v>0</v>
      </c>
      <c r="E302" s="99">
        <f ca="1">VLOOKUP(B302,'Warehouse Inventory'!$I$2:$L$643,4,FALSE)</f>
        <v>0</v>
      </c>
      <c r="F302" s="108">
        <f ca="1">IFERROR(VLOOKUP(B302,'Warehouse B'!$I$2:$L$148,4,FALSE),"0")</f>
        <v>0</v>
      </c>
    </row>
    <row r="303" spans="1:6">
      <c r="A303" s="77" t="s">
        <v>595</v>
      </c>
      <c r="B303" s="78" t="s">
        <v>401</v>
      </c>
      <c r="C303" s="82">
        <f ca="1">VLOOKUP(B303,PARTS!$G$2:$H$434,2,FALSE)</f>
        <v>25</v>
      </c>
      <c r="D303" s="81">
        <f t="shared" ca="1" si="13"/>
        <v>0</v>
      </c>
      <c r="E303" s="99">
        <f ca="1">VLOOKUP(B303,'Warehouse Inventory'!$I$2:$L$643,4,FALSE)</f>
        <v>0</v>
      </c>
      <c r="F303" s="108" t="str">
        <f>IFERROR(VLOOKUP(B303,'Warehouse B'!$I$2:$L$148,4,FALSE),"0")</f>
        <v>0</v>
      </c>
    </row>
    <row r="304" spans="1:6">
      <c r="A304" s="77" t="s">
        <v>596</v>
      </c>
      <c r="B304" s="78" t="s">
        <v>402</v>
      </c>
      <c r="C304" s="82">
        <f ca="1">VLOOKUP(B304,PARTS!$G$2:$H$434,2,FALSE)</f>
        <v>25</v>
      </c>
      <c r="D304" s="81">
        <f t="shared" ca="1" si="13"/>
        <v>0</v>
      </c>
      <c r="E304" s="99">
        <f ca="1">VLOOKUP(B304,'Warehouse Inventory'!$I$2:$L$643,4,FALSE)</f>
        <v>0</v>
      </c>
      <c r="F304" s="108" t="str">
        <f>IFERROR(VLOOKUP(B304,'Warehouse B'!$I$2:$L$148,4,FALSE),"0")</f>
        <v>0</v>
      </c>
    </row>
    <row r="305" spans="1:6">
      <c r="A305" s="77" t="s">
        <v>597</v>
      </c>
      <c r="B305" s="78" t="s">
        <v>403</v>
      </c>
      <c r="C305" s="82">
        <f ca="1">VLOOKUP(B305,PARTS!$G$2:$H$434,2,FALSE)</f>
        <v>14</v>
      </c>
      <c r="D305" s="81">
        <f t="shared" ca="1" si="13"/>
        <v>0</v>
      </c>
      <c r="E305" s="99">
        <f ca="1">VLOOKUP(B305,'Warehouse Inventory'!$I$2:$L$643,4,FALSE)</f>
        <v>0</v>
      </c>
      <c r="F305" s="108" t="str">
        <f>IFERROR(VLOOKUP(B305,'Warehouse B'!$I$2:$L$148,4,FALSE),"0")</f>
        <v>0</v>
      </c>
    </row>
    <row r="306" spans="1:6">
      <c r="A306" s="10" t="s">
        <v>598</v>
      </c>
      <c r="B306" s="33" t="s">
        <v>404</v>
      </c>
      <c r="C306" s="82">
        <f ca="1">VLOOKUP(B306,PARTS!$G$2:$H$434,2,FALSE)</f>
        <v>25</v>
      </c>
      <c r="D306" s="81">
        <f t="shared" ca="1" si="13"/>
        <v>0</v>
      </c>
      <c r="E306" s="99">
        <f ca="1">VLOOKUP(B306,'Warehouse Inventory'!$I$2:$L$643,4,FALSE)</f>
        <v>0</v>
      </c>
      <c r="F306" s="108" t="str">
        <f>IFERROR(VLOOKUP(B306,'Warehouse B'!$I$2:$L$148,4,FALSE),"0")</f>
        <v>0</v>
      </c>
    </row>
    <row r="307" spans="1:6">
      <c r="A307" s="10" t="s">
        <v>657</v>
      </c>
      <c r="B307" s="33" t="s">
        <v>405</v>
      </c>
      <c r="C307" s="82">
        <f ca="1">VLOOKUP(B307,PARTS!$G$2:$H$434,2,FALSE)</f>
        <v>25</v>
      </c>
      <c r="D307" s="81">
        <f t="shared" ca="1" si="13"/>
        <v>1</v>
      </c>
      <c r="E307" s="99">
        <f ca="1">VLOOKUP(B307,'Warehouse Inventory'!$I$2:$L$643,4,FALSE)</f>
        <v>0</v>
      </c>
      <c r="F307" s="108">
        <f ca="1">IFERROR(VLOOKUP(B307,'Warehouse B'!$I$2:$L$148,4,FALSE),"0")</f>
        <v>1</v>
      </c>
    </row>
    <row r="308" spans="1:6">
      <c r="A308" s="50" t="s">
        <v>159</v>
      </c>
      <c r="B308" s="80" t="s">
        <v>159</v>
      </c>
      <c r="C308" s="82">
        <f ca="1">D308</f>
        <v>8.5</v>
      </c>
      <c r="D308" s="81">
        <f t="shared" ca="1" si="13"/>
        <v>8.5</v>
      </c>
      <c r="E308" s="99">
        <f ca="1">VLOOKUP(B308,'Warehouse Inventory'!$I$2:$L$643,4,FALSE)</f>
        <v>0</v>
      </c>
      <c r="F308" s="108">
        <f ca="1">IFERROR(VLOOKUP(B308,'Warehouse B'!$I$2:$L$148,4,FALSE),"0")</f>
        <v>8.5</v>
      </c>
    </row>
    <row r="309" spans="1:6">
      <c r="A309" s="50" t="s">
        <v>406</v>
      </c>
      <c r="B309" s="80" t="s">
        <v>406</v>
      </c>
      <c r="C309" s="82">
        <f t="shared" ref="C309:C311" ca="1" si="14">D309</f>
        <v>0</v>
      </c>
      <c r="D309" s="81">
        <f t="shared" ca="1" si="13"/>
        <v>0</v>
      </c>
      <c r="E309" s="99">
        <f ca="1">VLOOKUP(B309,'Warehouse Inventory'!$I$2:$L$643,4,FALSE)</f>
        <v>0</v>
      </c>
      <c r="F309" s="108" t="str">
        <f>IFERROR(VLOOKUP(B309,'Warehouse B'!$I$2:$L$148,4,FALSE),"0")</f>
        <v>0</v>
      </c>
    </row>
    <row r="310" spans="1:6">
      <c r="A310" s="50" t="s">
        <v>160</v>
      </c>
      <c r="B310" s="80" t="s">
        <v>160</v>
      </c>
      <c r="C310" s="82">
        <f t="shared" ca="1" si="14"/>
        <v>4</v>
      </c>
      <c r="D310" s="81">
        <f t="shared" ca="1" si="13"/>
        <v>4</v>
      </c>
      <c r="E310" s="99">
        <f ca="1">VLOOKUP(B310,'Warehouse Inventory'!$I$2:$L$643,4,FALSE)</f>
        <v>2</v>
      </c>
      <c r="F310" s="108">
        <f ca="1">IFERROR(VLOOKUP(B310,'Warehouse B'!$I$2:$L$148,4,FALSE),"0")</f>
        <v>2</v>
      </c>
    </row>
    <row r="311" spans="1:6">
      <c r="A311" s="50" t="s">
        <v>407</v>
      </c>
      <c r="B311" s="80" t="s">
        <v>407</v>
      </c>
      <c r="C311" s="82">
        <f t="shared" ca="1" si="14"/>
        <v>57</v>
      </c>
      <c r="D311" s="81">
        <f t="shared" ca="1" si="13"/>
        <v>57</v>
      </c>
      <c r="E311" s="99">
        <f ca="1">VLOOKUP(B311,'Warehouse Inventory'!$I$2:$L$643,4,FALSE)</f>
        <v>4</v>
      </c>
      <c r="F311" s="108">
        <f ca="1">IFERROR(VLOOKUP(B311,'Warehouse B'!$I$2:$L$148,4,FALSE),"0")</f>
        <v>53</v>
      </c>
    </row>
    <row r="312" spans="1:6">
      <c r="A312" s="57" t="s">
        <v>161</v>
      </c>
      <c r="B312" s="80" t="s">
        <v>161</v>
      </c>
      <c r="C312" s="82">
        <f ca="1">VLOOKUP(B312,PARTS!$G$2:$H$434,2,FALSE)</f>
        <v>38</v>
      </c>
      <c r="D312" s="81">
        <f t="shared" ca="1" si="13"/>
        <v>0</v>
      </c>
      <c r="E312" s="99">
        <f ca="1">VLOOKUP(B312,'Warehouse Inventory'!$I$2:$L$643,4,FALSE)</f>
        <v>0</v>
      </c>
      <c r="F312" s="108" t="str">
        <f>IFERROR(VLOOKUP(B312,'Warehouse B'!$I$2:$L$148,4,FALSE),"0")</f>
        <v>0</v>
      </c>
    </row>
    <row r="313" spans="1:6">
      <c r="A313" s="57" t="s">
        <v>161</v>
      </c>
      <c r="B313" s="80" t="s">
        <v>162</v>
      </c>
      <c r="C313" s="82">
        <f ca="1">VLOOKUP(B313,PARTS!$G$2:$H$434,2,FALSE)</f>
        <v>19</v>
      </c>
      <c r="D313" s="81">
        <f t="shared" ca="1" si="13"/>
        <v>19</v>
      </c>
      <c r="E313" s="99">
        <f ca="1">VLOOKUP(B313,'Warehouse Inventory'!$I$2:$L$643,4,FALSE)</f>
        <v>0</v>
      </c>
      <c r="F313" s="108">
        <f ca="1">IFERROR(VLOOKUP(B313,'Warehouse B'!$I$2:$L$148,4,FALSE),"0")</f>
        <v>19</v>
      </c>
    </row>
    <row r="314" spans="1:6">
      <c r="A314" s="56" t="s">
        <v>163</v>
      </c>
      <c r="B314" s="80" t="s">
        <v>163</v>
      </c>
      <c r="C314" s="82">
        <f ca="1">VLOOKUP(B314,PARTS!$G$2:$H$434,2,FALSE)</f>
        <v>24</v>
      </c>
      <c r="D314" s="81">
        <f t="shared" ca="1" si="13"/>
        <v>0</v>
      </c>
      <c r="E314" s="99">
        <f ca="1">VLOOKUP(B314,'Warehouse Inventory'!$I$2:$L$643,4,FALSE)</f>
        <v>0</v>
      </c>
      <c r="F314" s="108" t="str">
        <f>IFERROR(VLOOKUP(B314,'Warehouse B'!$I$2:$L$148,4,FALSE),"0")</f>
        <v>0</v>
      </c>
    </row>
    <row r="315" spans="1:6">
      <c r="A315" s="56" t="s">
        <v>163</v>
      </c>
      <c r="B315" s="80" t="s">
        <v>408</v>
      </c>
      <c r="C315" s="82">
        <f ca="1">VLOOKUP(B315,PARTS!$G$2:$H$434,2,FALSE)</f>
        <v>12</v>
      </c>
      <c r="D315" s="81">
        <f t="shared" ca="1" si="13"/>
        <v>12</v>
      </c>
      <c r="E315" s="99">
        <f ca="1">VLOOKUP(B315,'Warehouse Inventory'!$I$2:$L$643,4,FALSE)</f>
        <v>0</v>
      </c>
      <c r="F315" s="108">
        <f ca="1">IFERROR(VLOOKUP(B315,'Warehouse B'!$I$2:$L$148,4,FALSE),"0")</f>
        <v>12</v>
      </c>
    </row>
    <row r="316" spans="1:6">
      <c r="A316" s="62" t="s">
        <v>409</v>
      </c>
      <c r="B316" s="80" t="s">
        <v>409</v>
      </c>
      <c r="C316" s="82">
        <f ca="1">VLOOKUP(B316,PARTS!$G$2:$H$434,2,FALSE)</f>
        <v>44</v>
      </c>
      <c r="D316" s="81">
        <f t="shared" ca="1" si="13"/>
        <v>0</v>
      </c>
      <c r="E316" s="99">
        <f ca="1">VLOOKUP(B316,'Warehouse Inventory'!$I$2:$L$643,4,FALSE)</f>
        <v>0</v>
      </c>
      <c r="F316" s="108" t="str">
        <f>IFERROR(VLOOKUP(B316,'Warehouse B'!$I$2:$L$148,4,FALSE),"0")</f>
        <v>0</v>
      </c>
    </row>
    <row r="317" spans="1:6">
      <c r="A317" s="62" t="s">
        <v>409</v>
      </c>
      <c r="B317" s="80" t="s">
        <v>164</v>
      </c>
      <c r="C317" s="82">
        <f ca="1">VLOOKUP(B317,PARTS!$G$2:$H$434,2,FALSE)</f>
        <v>22</v>
      </c>
      <c r="D317" s="81">
        <f t="shared" ca="1" si="13"/>
        <v>22</v>
      </c>
      <c r="E317" s="99">
        <f ca="1">VLOOKUP(B317,'Warehouse Inventory'!$I$2:$L$643,4,FALSE)</f>
        <v>0</v>
      </c>
      <c r="F317" s="108">
        <f ca="1">IFERROR(VLOOKUP(B317,'Warehouse B'!$I$2:$L$148,4,FALSE),"0")</f>
        <v>22</v>
      </c>
    </row>
    <row r="318" spans="1:6">
      <c r="A318" s="61" t="s">
        <v>410</v>
      </c>
      <c r="B318" s="80" t="s">
        <v>410</v>
      </c>
      <c r="C318" s="82">
        <f ca="1">VLOOKUP(B318,PARTS!$G$2:$H$434,2,FALSE)</f>
        <v>64</v>
      </c>
      <c r="D318" s="81">
        <f t="shared" ca="1" si="13"/>
        <v>0</v>
      </c>
      <c r="E318" s="99">
        <f ca="1">VLOOKUP(B318,'Warehouse Inventory'!$I$2:$L$643,4,FALSE)</f>
        <v>0</v>
      </c>
      <c r="F318" s="108" t="str">
        <f>IFERROR(VLOOKUP(B318,'Warehouse B'!$I$2:$L$148,4,FALSE),"0")</f>
        <v>0</v>
      </c>
    </row>
    <row r="319" spans="1:6">
      <c r="A319" s="61" t="s">
        <v>410</v>
      </c>
      <c r="B319" s="80" t="s">
        <v>411</v>
      </c>
      <c r="C319" s="82">
        <f ca="1">VLOOKUP(B319,PARTS!$G$2:$H$434,2,FALSE)</f>
        <v>32</v>
      </c>
      <c r="D319" s="81">
        <f t="shared" ca="1" si="13"/>
        <v>32</v>
      </c>
      <c r="E319" s="99">
        <f ca="1">VLOOKUP(B319,'Warehouse Inventory'!$I$2:$L$643,4,FALSE)</f>
        <v>1</v>
      </c>
      <c r="F319" s="108">
        <f ca="1">IFERROR(VLOOKUP(B319,'Warehouse B'!$I$2:$L$148,4,FALSE),"0")</f>
        <v>31</v>
      </c>
    </row>
    <row r="320" spans="1:6">
      <c r="A320" s="56" t="s">
        <v>165</v>
      </c>
      <c r="B320" s="80" t="s">
        <v>165</v>
      </c>
      <c r="C320" s="82">
        <f ca="1">VLOOKUP(B320,PARTS!$G$2:$H$434,2,FALSE)</f>
        <v>9</v>
      </c>
      <c r="D320" s="81">
        <f t="shared" ca="1" si="13"/>
        <v>9</v>
      </c>
      <c r="E320" s="99">
        <f ca="1">VLOOKUP(B320,'Warehouse Inventory'!$I$2:$L$643,4,FALSE)</f>
        <v>9</v>
      </c>
      <c r="F320" s="108" t="str">
        <f>IFERROR(VLOOKUP(B320,'Warehouse B'!$I$2:$L$148,4,FALSE),"0")</f>
        <v>0</v>
      </c>
    </row>
    <row r="321" spans="1:6">
      <c r="A321" s="56" t="s">
        <v>165</v>
      </c>
      <c r="B321" s="80" t="s">
        <v>166</v>
      </c>
      <c r="C321" s="82">
        <f ca="1">VLOOKUP(B321,PARTS!$G$2:$H$434,2,FALSE)</f>
        <v>4</v>
      </c>
      <c r="D321" s="81">
        <f t="shared" ca="1" si="13"/>
        <v>0</v>
      </c>
      <c r="E321" s="99">
        <f ca="1">VLOOKUP(B321,'Warehouse Inventory'!$I$2:$L$643,4,FALSE)</f>
        <v>0</v>
      </c>
      <c r="F321" s="108" t="str">
        <f>IFERROR(VLOOKUP(B321,'Warehouse B'!$I$2:$L$148,4,FALSE),"0")</f>
        <v>0</v>
      </c>
    </row>
    <row r="322" spans="1:6">
      <c r="A322" s="61" t="s">
        <v>167</v>
      </c>
      <c r="B322" s="80" t="s">
        <v>167</v>
      </c>
      <c r="C322" s="82">
        <f ca="1">VLOOKUP(B322,PARTS!$G$2:$H$434,2,FALSE)</f>
        <v>19</v>
      </c>
      <c r="D322" s="81">
        <f t="shared" ca="1" si="13"/>
        <v>0</v>
      </c>
      <c r="E322" s="99">
        <f ca="1">VLOOKUP(B322,'Warehouse Inventory'!$I$2:$L$643,4,FALSE)</f>
        <v>0</v>
      </c>
      <c r="F322" s="108" t="str">
        <f>IFERROR(VLOOKUP(B322,'Warehouse B'!$I$2:$L$148,4,FALSE),"0")</f>
        <v>0</v>
      </c>
    </row>
    <row r="323" spans="1:6">
      <c r="A323" s="61" t="s">
        <v>167</v>
      </c>
      <c r="B323" s="80" t="s">
        <v>168</v>
      </c>
      <c r="C323" s="82">
        <f ca="1">VLOOKUP(B323,PARTS!$G$2:$H$434,2,FALSE)</f>
        <v>9</v>
      </c>
      <c r="D323" s="81">
        <f t="shared" ca="1" si="13"/>
        <v>9.5</v>
      </c>
      <c r="E323" s="99">
        <f ca="1">VLOOKUP(B323,'Warehouse Inventory'!$I$2:$L$643,4,FALSE)</f>
        <v>0</v>
      </c>
      <c r="F323" s="108">
        <f ca="1">IFERROR(VLOOKUP(B323,'Warehouse B'!$I$2:$L$148,4,FALSE),"0")</f>
        <v>9.5</v>
      </c>
    </row>
    <row r="324" spans="1:6">
      <c r="A324" s="62" t="s">
        <v>169</v>
      </c>
      <c r="B324" s="80" t="s">
        <v>169</v>
      </c>
      <c r="C324" s="82">
        <f ca="1">VLOOKUP(B324,PARTS!$G$2:$H$434,2,FALSE)</f>
        <v>5</v>
      </c>
      <c r="D324" s="81">
        <f t="shared" ca="1" si="13"/>
        <v>3</v>
      </c>
      <c r="E324" s="99">
        <f ca="1">VLOOKUP(B324,'Warehouse Inventory'!$I$2:$L$643,4,FALSE)</f>
        <v>3</v>
      </c>
      <c r="F324" s="108" t="str">
        <f>IFERROR(VLOOKUP(B324,'Warehouse B'!$I$2:$L$148,4,FALSE),"0")</f>
        <v>0</v>
      </c>
    </row>
    <row r="325" spans="1:6">
      <c r="A325" s="62" t="s">
        <v>169</v>
      </c>
      <c r="B325" s="80" t="s">
        <v>170</v>
      </c>
      <c r="C325" s="82">
        <f ca="1">VLOOKUP(B325,PARTS!$G$2:$H$434,2,FALSE)</f>
        <v>2</v>
      </c>
      <c r="D325" s="81">
        <f t="shared" ca="1" si="13"/>
        <v>1</v>
      </c>
      <c r="E325" s="99">
        <f ca="1">VLOOKUP(B325,'Warehouse Inventory'!$I$2:$L$643,4,FALSE)</f>
        <v>1</v>
      </c>
      <c r="F325" s="108" t="str">
        <f>IFERROR(VLOOKUP(B325,'Warehouse B'!$I$2:$L$148,4,FALSE),"0")</f>
        <v>0</v>
      </c>
    </row>
    <row r="326" spans="1:6">
      <c r="A326" s="56" t="s">
        <v>171</v>
      </c>
      <c r="B326" s="80" t="s">
        <v>171</v>
      </c>
      <c r="C326" s="82">
        <f ca="1">VLOOKUP(B326,PARTS!$G$2:$H$434,2,FALSE)</f>
        <v>41</v>
      </c>
      <c r="D326" s="81">
        <f t="shared" ca="1" si="13"/>
        <v>0</v>
      </c>
      <c r="E326" s="99">
        <f ca="1">VLOOKUP(B326,'Warehouse Inventory'!$I$2:$L$643,4,FALSE)</f>
        <v>0</v>
      </c>
      <c r="F326" s="108" t="str">
        <f>IFERROR(VLOOKUP(B326,'Warehouse B'!$I$2:$L$148,4,FALSE),"0")</f>
        <v>0</v>
      </c>
    </row>
    <row r="327" spans="1:6">
      <c r="A327" s="56" t="s">
        <v>171</v>
      </c>
      <c r="B327" s="80" t="s">
        <v>172</v>
      </c>
      <c r="C327" s="82">
        <f ca="1">VLOOKUP(B327,PARTS!$G$2:$H$434,2,FALSE)</f>
        <v>20</v>
      </c>
      <c r="D327" s="81">
        <f t="shared" ca="1" si="13"/>
        <v>20.5</v>
      </c>
      <c r="E327" s="99">
        <f ca="1">VLOOKUP(B327,'Warehouse Inventory'!$I$2:$L$643,4,FALSE)</f>
        <v>7</v>
      </c>
      <c r="F327" s="108">
        <f ca="1">IFERROR(VLOOKUP(B327,'Warehouse B'!$I$2:$L$148,4,FALSE),"0")</f>
        <v>13.5</v>
      </c>
    </row>
    <row r="328" spans="1:6">
      <c r="A328" t="s">
        <v>413</v>
      </c>
      <c r="B328" s="80" t="s">
        <v>413</v>
      </c>
      <c r="C328" s="82">
        <f ca="1">D328</f>
        <v>0</v>
      </c>
      <c r="D328" s="81">
        <f t="shared" ref="D328:D391" ca="1" si="15">E328+F328</f>
        <v>0</v>
      </c>
      <c r="E328" s="99">
        <f ca="1">VLOOKUP(B328,'Warehouse Inventory'!$I$2:$L$643,4,FALSE)</f>
        <v>0</v>
      </c>
      <c r="F328" s="108" t="str">
        <f>IFERROR(VLOOKUP(B328,'Warehouse B'!$I$2:$L$148,4,FALSE),"0")</f>
        <v>0</v>
      </c>
    </row>
    <row r="329" spans="1:6">
      <c r="A329" t="s">
        <v>414</v>
      </c>
      <c r="B329" s="80" t="s">
        <v>414</v>
      </c>
      <c r="C329" s="82">
        <f t="shared" ref="C329:C333" ca="1" si="16">D329</f>
        <v>6</v>
      </c>
      <c r="D329" s="81">
        <f t="shared" ca="1" si="15"/>
        <v>6</v>
      </c>
      <c r="E329" s="99">
        <f ca="1">VLOOKUP(B329,'Warehouse Inventory'!$I$2:$L$643,4,FALSE)</f>
        <v>6</v>
      </c>
      <c r="F329" s="108" t="str">
        <f>IFERROR(VLOOKUP(B329,'Warehouse B'!$I$2:$L$148,4,FALSE),"0")</f>
        <v>0</v>
      </c>
    </row>
    <row r="330" spans="1:6">
      <c r="A330" t="s">
        <v>718</v>
      </c>
      <c r="B330" s="81" t="s">
        <v>718</v>
      </c>
      <c r="C330" s="82">
        <f t="shared" ca="1" si="16"/>
        <v>0</v>
      </c>
      <c r="D330" s="81">
        <f t="shared" ca="1" si="15"/>
        <v>0</v>
      </c>
      <c r="E330" s="99">
        <f ca="1">VLOOKUP(B330,'Warehouse Inventory'!$I$2:$L$643,4,FALSE)</f>
        <v>0</v>
      </c>
      <c r="F330" s="108" t="str">
        <f>IFERROR(VLOOKUP(B330,'Warehouse B'!$I$2:$L$148,4,FALSE),"0")</f>
        <v>0</v>
      </c>
    </row>
    <row r="331" spans="1:6">
      <c r="A331" t="s">
        <v>415</v>
      </c>
      <c r="B331" s="80" t="s">
        <v>415</v>
      </c>
      <c r="C331" s="82">
        <f t="shared" ca="1" si="16"/>
        <v>1</v>
      </c>
      <c r="D331" s="81">
        <f t="shared" ca="1" si="15"/>
        <v>1</v>
      </c>
      <c r="E331" s="99">
        <f ca="1">VLOOKUP(B331,'Warehouse Inventory'!$I$2:$L$643,4,FALSE)</f>
        <v>1</v>
      </c>
      <c r="F331" s="108" t="str">
        <f>IFERROR(VLOOKUP(B331,'Warehouse B'!$I$2:$L$148,4,FALSE),"0")</f>
        <v>0</v>
      </c>
    </row>
    <row r="332" spans="1:6">
      <c r="A332" t="s">
        <v>416</v>
      </c>
      <c r="B332" s="80" t="s">
        <v>416</v>
      </c>
      <c r="C332" s="82">
        <f t="shared" ca="1" si="16"/>
        <v>0</v>
      </c>
      <c r="D332" s="81">
        <f t="shared" ca="1" si="15"/>
        <v>0</v>
      </c>
      <c r="E332" s="99">
        <f ca="1">VLOOKUP(B332,'Warehouse Inventory'!$I$2:$L$643,4,FALSE)</f>
        <v>0</v>
      </c>
      <c r="F332" s="108" t="str">
        <f>IFERROR(VLOOKUP(B332,'Warehouse B'!$I$2:$L$148,4,FALSE),"0")</f>
        <v>0</v>
      </c>
    </row>
    <row r="333" spans="1:6">
      <c r="A333" t="s">
        <v>417</v>
      </c>
      <c r="B333" s="80" t="s">
        <v>417</v>
      </c>
      <c r="C333" s="82">
        <f t="shared" ca="1" si="16"/>
        <v>0</v>
      </c>
      <c r="D333" s="81">
        <f t="shared" ca="1" si="15"/>
        <v>0</v>
      </c>
      <c r="E333" s="99">
        <f ca="1">VLOOKUP(B333,'Warehouse Inventory'!$I$2:$L$643,4,FALSE)</f>
        <v>0</v>
      </c>
      <c r="F333" s="108" t="str">
        <f>IFERROR(VLOOKUP(B333,'Warehouse B'!$I$2:$L$148,4,FALSE),"0")</f>
        <v>0</v>
      </c>
    </row>
    <row r="334" spans="1:6">
      <c r="A334" s="56" t="s">
        <v>173</v>
      </c>
      <c r="B334" s="80" t="s">
        <v>173</v>
      </c>
      <c r="C334" s="82">
        <f ca="1">VLOOKUP(B334,PARTS!$G$2:$H$434,2,FALSE)</f>
        <v>4</v>
      </c>
      <c r="D334" s="81">
        <f t="shared" ca="1" si="15"/>
        <v>0</v>
      </c>
      <c r="E334" s="99">
        <f ca="1">VLOOKUP(B334,'Warehouse Inventory'!$I$2:$L$643,4,FALSE)</f>
        <v>0</v>
      </c>
      <c r="F334" s="108" t="str">
        <f>IFERROR(VLOOKUP(B334,'Warehouse B'!$I$2:$L$148,4,FALSE),"0")</f>
        <v>0</v>
      </c>
    </row>
    <row r="335" spans="1:6">
      <c r="A335" s="56" t="s">
        <v>173</v>
      </c>
      <c r="B335" s="80" t="s">
        <v>174</v>
      </c>
      <c r="C335" s="82">
        <f ca="1">VLOOKUP(B335,PARTS!$G$2:$H$434,2,FALSE)</f>
        <v>2</v>
      </c>
      <c r="D335" s="81">
        <f t="shared" ca="1" si="15"/>
        <v>2</v>
      </c>
      <c r="E335" s="99">
        <f ca="1">VLOOKUP(B335,'Warehouse Inventory'!$I$2:$L$643,4,FALSE)</f>
        <v>2</v>
      </c>
      <c r="F335" s="108" t="str">
        <f>IFERROR(VLOOKUP(B335,'Warehouse B'!$I$2:$L$148,4,FALSE),"0")</f>
        <v>0</v>
      </c>
    </row>
    <row r="336" spans="1:6">
      <c r="A336" s="61" t="s">
        <v>609</v>
      </c>
      <c r="B336" s="80" t="s">
        <v>175</v>
      </c>
      <c r="C336" s="82">
        <f ca="1">VLOOKUP(B336,PARTS!$G$2:$H$434,2,FALSE)</f>
        <v>6</v>
      </c>
      <c r="D336" s="81">
        <f t="shared" ca="1" si="15"/>
        <v>0</v>
      </c>
      <c r="E336" s="99">
        <f ca="1">VLOOKUP(B336,'Warehouse Inventory'!$I$2:$L$643,4,FALSE)</f>
        <v>0</v>
      </c>
      <c r="F336" s="108" t="str">
        <f>IFERROR(VLOOKUP(B336,'Warehouse B'!$I$2:$L$148,4,FALSE),"0")</f>
        <v>0</v>
      </c>
    </row>
    <row r="337" spans="1:6">
      <c r="A337" s="61" t="s">
        <v>609</v>
      </c>
      <c r="B337" s="80" t="s">
        <v>26</v>
      </c>
      <c r="C337" s="82">
        <f ca="1">VLOOKUP(B337,PARTS!$G$2:$H$434,2,FALSE)</f>
        <v>3</v>
      </c>
      <c r="D337" s="81">
        <f t="shared" ca="1" si="15"/>
        <v>3</v>
      </c>
      <c r="E337" s="99">
        <f ca="1">VLOOKUP(B337,'Warehouse Inventory'!$I$2:$L$643,4,FALSE)</f>
        <v>3</v>
      </c>
      <c r="F337" s="108" t="str">
        <f>IFERROR(VLOOKUP(B337,'Warehouse B'!$I$2:$L$148,4,FALSE),"0")</f>
        <v>0</v>
      </c>
    </row>
    <row r="338" spans="1:6">
      <c r="A338" s="62" t="s">
        <v>658</v>
      </c>
      <c r="B338" s="80" t="s">
        <v>419</v>
      </c>
      <c r="C338" s="82">
        <f ca="1">VLOOKUP(B338,PARTS!$G$2:$H$434,2,FALSE)</f>
        <v>3</v>
      </c>
      <c r="D338" s="81">
        <f t="shared" ca="1" si="15"/>
        <v>3</v>
      </c>
      <c r="E338" s="99">
        <f ca="1">VLOOKUP(B338,'Warehouse Inventory'!$I$2:$L$643,4,FALSE)</f>
        <v>3</v>
      </c>
      <c r="F338" s="108" t="str">
        <f>IFERROR(VLOOKUP(B338,'Warehouse B'!$I$2:$L$148,4,FALSE),"0")</f>
        <v>0</v>
      </c>
    </row>
    <row r="339" spans="1:6">
      <c r="A339" s="62" t="s">
        <v>658</v>
      </c>
      <c r="B339" s="80" t="s">
        <v>176</v>
      </c>
      <c r="C339" s="82">
        <f ca="1">VLOOKUP(B339,PARTS!$G$2:$H$434,2,FALSE)</f>
        <v>1</v>
      </c>
      <c r="D339" s="81">
        <f t="shared" ca="1" si="15"/>
        <v>0</v>
      </c>
      <c r="E339" s="99">
        <f ca="1">VLOOKUP(B339,'Warehouse Inventory'!$I$2:$L$643,4,FALSE)</f>
        <v>0</v>
      </c>
      <c r="F339" s="108" t="str">
        <f>IFERROR(VLOOKUP(B339,'Warehouse B'!$I$2:$L$148,4,FALSE),"0")</f>
        <v>0</v>
      </c>
    </row>
    <row r="340" spans="1:6">
      <c r="A340" s="56" t="s">
        <v>624</v>
      </c>
      <c r="B340" s="80" t="s">
        <v>177</v>
      </c>
      <c r="C340" s="82">
        <f ca="1">VLOOKUP(B340,PARTS!$G$2:$H$434,2,FALSE)</f>
        <v>4</v>
      </c>
      <c r="D340" s="81">
        <f t="shared" ca="1" si="15"/>
        <v>4</v>
      </c>
      <c r="E340" s="99">
        <f ca="1">VLOOKUP(B340,'Warehouse Inventory'!$I$2:$L$643,4,FALSE)</f>
        <v>4</v>
      </c>
      <c r="F340" s="108" t="str">
        <f>IFERROR(VLOOKUP(B340,'Warehouse B'!$I$2:$L$148,4,FALSE),"0")</f>
        <v>0</v>
      </c>
    </row>
    <row r="341" spans="1:6">
      <c r="A341" s="56" t="s">
        <v>624</v>
      </c>
      <c r="B341" s="80" t="s">
        <v>178</v>
      </c>
      <c r="C341" s="82">
        <f ca="1">VLOOKUP(B341,PARTS!$G$2:$H$434,2,FALSE)</f>
        <v>2</v>
      </c>
      <c r="D341" s="81">
        <f t="shared" ca="1" si="15"/>
        <v>0</v>
      </c>
      <c r="E341" s="99">
        <f ca="1">VLOOKUP(B341,'Warehouse Inventory'!$I$2:$L$643,4,FALSE)</f>
        <v>0</v>
      </c>
      <c r="F341" s="108" t="str">
        <f>IFERROR(VLOOKUP(B341,'Warehouse B'!$I$2:$L$148,4,FALSE),"0")</f>
        <v>0</v>
      </c>
    </row>
    <row r="342" spans="1:6">
      <c r="A342" s="61" t="s">
        <v>659</v>
      </c>
      <c r="B342" s="80" t="s">
        <v>420</v>
      </c>
      <c r="C342" s="82">
        <f ca="1">VLOOKUP(B342,PARTS!$G$2:$H$434,2,FALSE)</f>
        <v>1</v>
      </c>
      <c r="D342" s="81">
        <f t="shared" ca="1" si="15"/>
        <v>1</v>
      </c>
      <c r="E342" s="99">
        <f ca="1">VLOOKUP(B342,'Warehouse Inventory'!$I$2:$L$643,4,FALSE)</f>
        <v>1</v>
      </c>
      <c r="F342" s="108" t="str">
        <f>IFERROR(VLOOKUP(B342,'Warehouse B'!$I$2:$L$148,4,FALSE),"0")</f>
        <v>0</v>
      </c>
    </row>
    <row r="343" spans="1:6">
      <c r="A343" s="61" t="s">
        <v>659</v>
      </c>
      <c r="B343" s="80" t="s">
        <v>179</v>
      </c>
      <c r="C343" s="82">
        <f ca="1">VLOOKUP(B343,PARTS!$G$2:$H$434,2,FALSE)</f>
        <v>0</v>
      </c>
      <c r="D343" s="81">
        <f t="shared" ca="1" si="15"/>
        <v>0</v>
      </c>
      <c r="E343" s="99">
        <f ca="1">VLOOKUP(B343,'Warehouse Inventory'!$I$2:$L$643,4,FALSE)</f>
        <v>0</v>
      </c>
      <c r="F343" s="108" t="str">
        <f>IFERROR(VLOOKUP(B343,'Warehouse B'!$I$2:$L$148,4,FALSE),"0")</f>
        <v>0</v>
      </c>
    </row>
    <row r="344" spans="1:6">
      <c r="A344" s="56" t="s">
        <v>660</v>
      </c>
      <c r="B344" s="80" t="s">
        <v>180</v>
      </c>
      <c r="C344" s="82">
        <f ca="1">VLOOKUP(B344,PARTS!$G$2:$H$434,2,FALSE)</f>
        <v>1</v>
      </c>
      <c r="D344" s="81">
        <f t="shared" ca="1" si="15"/>
        <v>1</v>
      </c>
      <c r="E344" s="99">
        <f ca="1">VLOOKUP(B344,'Warehouse Inventory'!$I$2:$L$643,4,FALSE)</f>
        <v>1</v>
      </c>
      <c r="F344" s="108" t="str">
        <f>IFERROR(VLOOKUP(B344,'Warehouse B'!$I$2:$L$148,4,FALSE),"0")</f>
        <v>0</v>
      </c>
    </row>
    <row r="345" spans="1:6">
      <c r="A345" s="56" t="s">
        <v>660</v>
      </c>
      <c r="B345" s="80" t="s">
        <v>181</v>
      </c>
      <c r="C345" s="82">
        <f ca="1">VLOOKUP(B345,PARTS!$G$2:$H$434,2,FALSE)</f>
        <v>0</v>
      </c>
      <c r="D345" s="81">
        <f t="shared" ca="1" si="15"/>
        <v>0</v>
      </c>
      <c r="E345" s="99">
        <f ca="1">VLOOKUP(B345,'Warehouse Inventory'!$I$2:$L$643,4,FALSE)</f>
        <v>0</v>
      </c>
      <c r="F345" s="108" t="str">
        <f>IFERROR(VLOOKUP(B345,'Warehouse B'!$I$2:$L$148,4,FALSE),"0")</f>
        <v>0</v>
      </c>
    </row>
    <row r="346" spans="1:6">
      <c r="A346" s="62" t="s">
        <v>661</v>
      </c>
      <c r="B346" s="80" t="s">
        <v>421</v>
      </c>
      <c r="C346" s="82">
        <f ca="1">VLOOKUP(B346,PARTS!$G$2:$H$434,2,FALSE)</f>
        <v>0</v>
      </c>
      <c r="D346" s="81">
        <f t="shared" ca="1" si="15"/>
        <v>0</v>
      </c>
      <c r="E346" s="99">
        <f ca="1">VLOOKUP(B346,'Warehouse Inventory'!$I$2:$L$643,4,FALSE)</f>
        <v>0</v>
      </c>
      <c r="F346" s="108" t="str">
        <f>IFERROR(VLOOKUP(B346,'Warehouse B'!$I$2:$L$148,4,FALSE),"0")</f>
        <v>0</v>
      </c>
    </row>
    <row r="347" spans="1:6">
      <c r="A347" s="62" t="s">
        <v>661</v>
      </c>
      <c r="B347" s="80" t="s">
        <v>182</v>
      </c>
      <c r="C347" s="82">
        <f ca="1">VLOOKUP(B347,PARTS!$G$2:$H$434,2,FALSE)</f>
        <v>0</v>
      </c>
      <c r="D347" s="81">
        <f t="shared" ca="1" si="15"/>
        <v>0</v>
      </c>
      <c r="E347" s="99">
        <f ca="1">VLOOKUP(B347,'Warehouse Inventory'!$I$2:$L$643,4,FALSE)</f>
        <v>0</v>
      </c>
      <c r="F347" s="108" t="str">
        <f>IFERROR(VLOOKUP(B347,'Warehouse B'!$I$2:$L$148,4,FALSE),"0")</f>
        <v>0</v>
      </c>
    </row>
    <row r="348" spans="1:6">
      <c r="A348" s="61" t="s">
        <v>662</v>
      </c>
      <c r="B348" s="80" t="s">
        <v>183</v>
      </c>
      <c r="C348" s="82">
        <f ca="1">VLOOKUP(B348,PARTS!$G$2:$H$434,2,FALSE)</f>
        <v>6</v>
      </c>
      <c r="D348" s="81">
        <f t="shared" ca="1" si="15"/>
        <v>0</v>
      </c>
      <c r="E348" s="99">
        <f ca="1">VLOOKUP(B348,'Warehouse Inventory'!$I$2:$L$643,4,FALSE)</f>
        <v>0</v>
      </c>
      <c r="F348" s="108" t="str">
        <f>IFERROR(VLOOKUP(B348,'Warehouse B'!$I$2:$L$148,4,FALSE),"0")</f>
        <v>0</v>
      </c>
    </row>
    <row r="349" spans="1:6">
      <c r="A349" s="61" t="s">
        <v>662</v>
      </c>
      <c r="B349" s="80" t="s">
        <v>184</v>
      </c>
      <c r="C349" s="82">
        <f ca="1">VLOOKUP(B349,PARTS!$G$2:$H$434,2,FALSE)</f>
        <v>3</v>
      </c>
      <c r="D349" s="81">
        <f t="shared" ca="1" si="15"/>
        <v>3</v>
      </c>
      <c r="E349" s="99">
        <f ca="1">VLOOKUP(B349,'Warehouse Inventory'!$I$2:$L$643,4,FALSE)</f>
        <v>3</v>
      </c>
      <c r="F349" s="108" t="str">
        <f>IFERROR(VLOOKUP(B349,'Warehouse B'!$I$2:$L$148,4,FALSE),"0")</f>
        <v>0</v>
      </c>
    </row>
    <row r="350" spans="1:6">
      <c r="A350" s="56" t="s">
        <v>663</v>
      </c>
      <c r="B350" s="80" t="s">
        <v>185</v>
      </c>
      <c r="C350" s="82">
        <f ca="1">VLOOKUP(B350,PARTS!$G$2:$H$434,2,FALSE)</f>
        <v>0</v>
      </c>
      <c r="D350" s="81">
        <f t="shared" ca="1" si="15"/>
        <v>0</v>
      </c>
      <c r="E350" s="99">
        <f ca="1">VLOOKUP(B350,'Warehouse Inventory'!$I$2:$L$643,4,FALSE)</f>
        <v>0</v>
      </c>
      <c r="F350" s="108" t="str">
        <f>IFERROR(VLOOKUP(B350,'Warehouse B'!$I$2:$L$148,4,FALSE),"0")</f>
        <v>0</v>
      </c>
    </row>
    <row r="351" spans="1:6">
      <c r="A351" s="56" t="s">
        <v>663</v>
      </c>
      <c r="B351" s="80" t="s">
        <v>186</v>
      </c>
      <c r="C351" s="82">
        <f ca="1">VLOOKUP(B351,PARTS!$G$2:$H$434,2,FALSE)</f>
        <v>0</v>
      </c>
      <c r="D351" s="81">
        <f t="shared" ca="1" si="15"/>
        <v>0</v>
      </c>
      <c r="E351" s="99">
        <f ca="1">VLOOKUP(B351,'Warehouse Inventory'!$I$2:$L$643,4,FALSE)</f>
        <v>0</v>
      </c>
      <c r="F351" s="108" t="str">
        <f>IFERROR(VLOOKUP(B351,'Warehouse B'!$I$2:$L$148,4,FALSE),"0")</f>
        <v>0</v>
      </c>
    </row>
    <row r="352" spans="1:6">
      <c r="A352" s="62" t="s">
        <v>422</v>
      </c>
      <c r="B352" s="80" t="s">
        <v>422</v>
      </c>
      <c r="C352" s="82">
        <f ca="1">VLOOKUP(B352,PARTS!$G$2:$H$434,2,FALSE)</f>
        <v>0</v>
      </c>
      <c r="D352" s="81">
        <f t="shared" ca="1" si="15"/>
        <v>0</v>
      </c>
      <c r="E352" s="99">
        <f ca="1">VLOOKUP(B352,'Warehouse Inventory'!$I$2:$L$643,4,FALSE)</f>
        <v>0</v>
      </c>
      <c r="F352" s="108" t="str">
        <f>IFERROR(VLOOKUP(B352,'Warehouse B'!$I$2:$L$148,4,FALSE),"0")</f>
        <v>0</v>
      </c>
    </row>
    <row r="353" spans="1:6">
      <c r="A353" s="62" t="s">
        <v>664</v>
      </c>
      <c r="B353" s="80" t="s">
        <v>423</v>
      </c>
      <c r="C353" s="82">
        <f ca="1">VLOOKUP(B353,PARTS!$G$2:$H$434,2,FALSE)</f>
        <v>0</v>
      </c>
      <c r="D353" s="81">
        <f t="shared" ca="1" si="15"/>
        <v>0</v>
      </c>
      <c r="E353" s="99">
        <f ca="1">VLOOKUP(B353,'Warehouse Inventory'!$I$2:$L$643,4,FALSE)</f>
        <v>0</v>
      </c>
      <c r="F353" s="108" t="str">
        <f>IFERROR(VLOOKUP(B353,'Warehouse B'!$I$2:$L$148,4,FALSE),"0")</f>
        <v>0</v>
      </c>
    </row>
    <row r="354" spans="1:6">
      <c r="A354" s="62" t="s">
        <v>664</v>
      </c>
      <c r="B354" s="80" t="s">
        <v>424</v>
      </c>
      <c r="C354" s="82">
        <f ca="1">VLOOKUP(B354,PARTS!$G$2:$H$434,2,FALSE)</f>
        <v>0</v>
      </c>
      <c r="D354" s="81">
        <f t="shared" ca="1" si="15"/>
        <v>0</v>
      </c>
      <c r="E354" s="99">
        <f ca="1">VLOOKUP(B354,'Warehouse Inventory'!$I$2:$L$643,4,FALSE)</f>
        <v>0</v>
      </c>
      <c r="F354" s="108" t="str">
        <f>IFERROR(VLOOKUP(B354,'Warehouse B'!$I$2:$L$148,4,FALSE),"0")</f>
        <v>0</v>
      </c>
    </row>
    <row r="355" spans="1:6">
      <c r="A355" s="61" t="s">
        <v>425</v>
      </c>
      <c r="B355" s="80" t="s">
        <v>425</v>
      </c>
      <c r="C355" s="82">
        <f ca="1">VLOOKUP(B355,PARTS!$G$2:$H$434,2,FALSE)</f>
        <v>31</v>
      </c>
      <c r="D355" s="81">
        <f t="shared" ca="1" si="15"/>
        <v>7</v>
      </c>
      <c r="E355" s="99">
        <f ca="1">VLOOKUP(B355,'Warehouse Inventory'!$I$2:$L$643,4,FALSE)</f>
        <v>7</v>
      </c>
      <c r="F355" s="108" t="str">
        <f>IFERROR(VLOOKUP(B355,'Warehouse B'!$I$2:$L$148,4,FALSE),"0")</f>
        <v>0</v>
      </c>
    </row>
    <row r="356" spans="1:6">
      <c r="A356" s="56" t="s">
        <v>426</v>
      </c>
      <c r="B356" s="80" t="s">
        <v>426</v>
      </c>
      <c r="C356" s="82">
        <f ca="1">VLOOKUP(B356,PARTS!$G$2:$H$434,2,FALSE)</f>
        <v>21</v>
      </c>
      <c r="D356" s="81">
        <f t="shared" ca="1" si="15"/>
        <v>1</v>
      </c>
      <c r="E356" s="99">
        <f ca="1">VLOOKUP(B356,'Warehouse Inventory'!$I$2:$L$643,4,FALSE)</f>
        <v>1</v>
      </c>
      <c r="F356" s="108" t="str">
        <f>IFERROR(VLOOKUP(B356,'Warehouse B'!$I$2:$L$148,4,FALSE),"0")</f>
        <v>0</v>
      </c>
    </row>
    <row r="357" spans="1:6">
      <c r="A357" s="56" t="s">
        <v>426</v>
      </c>
      <c r="B357" s="80" t="s">
        <v>427</v>
      </c>
      <c r="C357" s="82">
        <f ca="1">VLOOKUP(B357,PARTS!$G$2:$H$434,2,FALSE)</f>
        <v>10</v>
      </c>
      <c r="D357" s="81">
        <f t="shared" ca="1" si="15"/>
        <v>0</v>
      </c>
      <c r="E357" s="99">
        <f ca="1">VLOOKUP(B357,'Warehouse Inventory'!$I$2:$L$643,4,FALSE)</f>
        <v>0</v>
      </c>
      <c r="F357" s="108" t="str">
        <f>IFERROR(VLOOKUP(B357,'Warehouse B'!$I$2:$L$148,4,FALSE),"0")</f>
        <v>0</v>
      </c>
    </row>
    <row r="358" spans="1:6">
      <c r="A358" s="56" t="s">
        <v>426</v>
      </c>
      <c r="B358" s="80" t="s">
        <v>428</v>
      </c>
      <c r="C358" s="82">
        <f ca="1">VLOOKUP(B358,PARTS!$G$2:$H$434,2,FALSE)</f>
        <v>5</v>
      </c>
      <c r="D358" s="81">
        <f t="shared" ca="1" si="15"/>
        <v>5</v>
      </c>
      <c r="E358" s="99">
        <f ca="1">VLOOKUP(B358,'Warehouse Inventory'!$I$2:$L$643,4,FALSE)</f>
        <v>0</v>
      </c>
      <c r="F358" s="108">
        <f ca="1">IFERROR(VLOOKUP(B358,'Warehouse B'!$I$2:$L$148,4,FALSE),"0")</f>
        <v>5</v>
      </c>
    </row>
    <row r="359" spans="1:6">
      <c r="A359" s="61" t="s">
        <v>665</v>
      </c>
      <c r="B359" s="80" t="s">
        <v>429</v>
      </c>
      <c r="C359" s="82">
        <f ca="1">VLOOKUP(B359,PARTS!$G$2:$H$434,2,FALSE)</f>
        <v>15</v>
      </c>
      <c r="D359" s="81">
        <f t="shared" ca="1" si="15"/>
        <v>6</v>
      </c>
      <c r="E359" s="99">
        <f ca="1">VLOOKUP(B359,'Warehouse Inventory'!$I$2:$L$643,4,FALSE)</f>
        <v>6</v>
      </c>
      <c r="F359" s="108" t="str">
        <f>IFERROR(VLOOKUP(B359,'Warehouse B'!$I$2:$L$148,4,FALSE),"0")</f>
        <v>0</v>
      </c>
    </row>
    <row r="360" spans="1:6">
      <c r="A360" s="61" t="s">
        <v>665</v>
      </c>
      <c r="B360" s="80" t="s">
        <v>430</v>
      </c>
      <c r="C360" s="82">
        <f ca="1">VLOOKUP(B360,PARTS!$G$2:$H$434,2,FALSE)</f>
        <v>7</v>
      </c>
      <c r="D360" s="81">
        <f t="shared" ca="1" si="15"/>
        <v>3</v>
      </c>
      <c r="E360" s="99">
        <f ca="1">VLOOKUP(B360,'Warehouse Inventory'!$I$2:$L$643,4,FALSE)</f>
        <v>3</v>
      </c>
      <c r="F360" s="108" t="str">
        <f>IFERROR(VLOOKUP(B360,'Warehouse B'!$I$2:$L$148,4,FALSE),"0")</f>
        <v>0</v>
      </c>
    </row>
    <row r="361" spans="1:6">
      <c r="A361" s="56" t="s">
        <v>431</v>
      </c>
      <c r="B361" s="80" t="s">
        <v>431</v>
      </c>
      <c r="C361" s="82">
        <f ca="1">VLOOKUP(B361,PARTS!$G$2:$H$434,2,FALSE)</f>
        <v>0</v>
      </c>
      <c r="D361" s="81">
        <f t="shared" ca="1" si="15"/>
        <v>0</v>
      </c>
      <c r="E361" s="99">
        <f ca="1">VLOOKUP(B361,'Warehouse Inventory'!$I$2:$L$643,4,FALSE)</f>
        <v>0</v>
      </c>
      <c r="F361" s="108" t="str">
        <f>IFERROR(VLOOKUP(B361,'Warehouse B'!$I$2:$L$148,4,FALSE),"0")</f>
        <v>0</v>
      </c>
    </row>
    <row r="362" spans="1:6">
      <c r="A362" s="56" t="s">
        <v>666</v>
      </c>
      <c r="B362" s="80" t="s">
        <v>432</v>
      </c>
      <c r="C362" s="82">
        <f ca="1">VLOOKUP(B362,PARTS!$G$2:$H$434,2,FALSE)</f>
        <v>0</v>
      </c>
      <c r="D362" s="81">
        <f t="shared" ca="1" si="15"/>
        <v>0</v>
      </c>
      <c r="E362" s="99">
        <f ca="1">VLOOKUP(B362,'Warehouse Inventory'!$I$2:$L$643,4,FALSE)</f>
        <v>0</v>
      </c>
      <c r="F362" s="108" t="str">
        <f>IFERROR(VLOOKUP(B362,'Warehouse B'!$I$2:$L$148,4,FALSE),"0")</f>
        <v>0</v>
      </c>
    </row>
    <row r="363" spans="1:6">
      <c r="A363" s="56" t="s">
        <v>666</v>
      </c>
      <c r="B363" s="80" t="s">
        <v>433</v>
      </c>
      <c r="C363" s="82">
        <f ca="1">VLOOKUP(B363,PARTS!$G$2:$H$434,2,FALSE)</f>
        <v>0</v>
      </c>
      <c r="D363" s="81">
        <f t="shared" ca="1" si="15"/>
        <v>0</v>
      </c>
      <c r="E363" s="99">
        <f ca="1">VLOOKUP(B363,'Warehouse Inventory'!$I$2:$L$643,4,FALSE)</f>
        <v>0</v>
      </c>
      <c r="F363" s="108" t="str">
        <f>IFERROR(VLOOKUP(B363,'Warehouse B'!$I$2:$L$148,4,FALSE),"0")</f>
        <v>0</v>
      </c>
    </row>
    <row r="364" spans="1:6">
      <c r="A364" t="s">
        <v>434</v>
      </c>
      <c r="B364" s="80" t="s">
        <v>435</v>
      </c>
      <c r="C364" s="82">
        <f ca="1">VLOOKUP(B364,PARTS!$G$2:$H$434,2,FALSE)</f>
        <v>16</v>
      </c>
      <c r="D364" s="81">
        <f t="shared" ca="1" si="15"/>
        <v>0</v>
      </c>
      <c r="E364" s="99">
        <f ca="1">VLOOKUP(B364,'Warehouse Inventory'!$I$2:$L$643,4,FALSE)</f>
        <v>0</v>
      </c>
      <c r="F364" s="108" t="str">
        <f>IFERROR(VLOOKUP(B364,'Warehouse B'!$I$2:$L$148,4,FALSE),"0")</f>
        <v>0</v>
      </c>
    </row>
    <row r="365" spans="1:6">
      <c r="A365" s="62" t="s">
        <v>436</v>
      </c>
      <c r="B365" s="80" t="s">
        <v>187</v>
      </c>
      <c r="C365" s="82">
        <f ca="1">VLOOKUP(B365,PARTS!$G$2:$H$434,2,FALSE)</f>
        <v>8</v>
      </c>
      <c r="D365" s="81">
        <f t="shared" ca="1" si="15"/>
        <v>0</v>
      </c>
      <c r="E365" s="99">
        <f ca="1">VLOOKUP(B365,'Warehouse Inventory'!$I$2:$L$643,4,FALSE)</f>
        <v>0</v>
      </c>
      <c r="F365" s="108" t="str">
        <f>IFERROR(VLOOKUP(B365,'Warehouse B'!$I$2:$L$148,4,FALSE),"0")</f>
        <v>0</v>
      </c>
    </row>
    <row r="366" spans="1:6">
      <c r="A366" s="62" t="s">
        <v>436</v>
      </c>
      <c r="B366" s="80" t="s">
        <v>188</v>
      </c>
      <c r="C366" s="82">
        <f ca="1">VLOOKUP(B366,PARTS!$G$2:$H$434,2,FALSE)</f>
        <v>4</v>
      </c>
      <c r="D366" s="81">
        <f t="shared" ca="1" si="15"/>
        <v>4</v>
      </c>
      <c r="E366" s="99">
        <f ca="1">VLOOKUP(B366,'Warehouse Inventory'!$I$2:$L$643,4,FALSE)</f>
        <v>0</v>
      </c>
      <c r="F366" s="108">
        <f ca="1">IFERROR(VLOOKUP(B366,'Warehouse B'!$I$2:$L$148,4,FALSE),"0")</f>
        <v>4</v>
      </c>
    </row>
    <row r="367" spans="1:6">
      <c r="A367" t="s">
        <v>437</v>
      </c>
      <c r="B367" s="80" t="s">
        <v>437</v>
      </c>
      <c r="C367" s="82">
        <f ca="1">VLOOKUP(B367,PARTS!$G$2:$H$434,2,FALSE)</f>
        <v>2</v>
      </c>
      <c r="D367" s="81">
        <f t="shared" ca="1" si="15"/>
        <v>0</v>
      </c>
      <c r="E367" s="99">
        <f ca="1">VLOOKUP(B367,'Warehouse Inventory'!$I$2:$L$643,4,FALSE)</f>
        <v>0</v>
      </c>
      <c r="F367" s="108" t="str">
        <f>IFERROR(VLOOKUP(B367,'Warehouse B'!$I$2:$L$148,4,FALSE),"0")</f>
        <v>0</v>
      </c>
    </row>
    <row r="368" spans="1:6">
      <c r="A368" s="61" t="s">
        <v>438</v>
      </c>
      <c r="B368" s="80" t="s">
        <v>438</v>
      </c>
      <c r="C368" s="82">
        <f ca="1">VLOOKUP(B368,PARTS!$G$2:$H$434,2,FALSE)</f>
        <v>20</v>
      </c>
      <c r="D368" s="81">
        <f t="shared" ca="1" si="15"/>
        <v>0</v>
      </c>
      <c r="E368" s="99">
        <f ca="1">VLOOKUP(B368,'Warehouse Inventory'!$I$2:$L$643,4,FALSE)</f>
        <v>0</v>
      </c>
      <c r="F368" s="108" t="str">
        <f>IFERROR(VLOOKUP(B368,'Warehouse B'!$I$2:$L$148,4,FALSE),"0")</f>
        <v>0</v>
      </c>
    </row>
    <row r="369" spans="1:6">
      <c r="A369" s="61" t="s">
        <v>438</v>
      </c>
      <c r="B369" s="80" t="s">
        <v>189</v>
      </c>
      <c r="C369" s="82">
        <f ca="1">VLOOKUP(B369,PARTS!$G$2:$H$434,2,FALSE)</f>
        <v>10</v>
      </c>
      <c r="D369" s="81">
        <f t="shared" ca="1" si="15"/>
        <v>0</v>
      </c>
      <c r="E369" s="99">
        <f ca="1">VLOOKUP(B369,'Warehouse Inventory'!$I$2:$L$643,4,FALSE)</f>
        <v>0</v>
      </c>
      <c r="F369" s="108" t="str">
        <f>IFERROR(VLOOKUP(B369,'Warehouse B'!$I$2:$L$148,4,FALSE),"0")</f>
        <v>0</v>
      </c>
    </row>
    <row r="370" spans="1:6">
      <c r="A370" s="61" t="s">
        <v>438</v>
      </c>
      <c r="B370" s="80" t="s">
        <v>190</v>
      </c>
      <c r="C370" s="82">
        <f ca="1">VLOOKUP(B370,PARTS!$G$2:$H$434,2,FALSE)</f>
        <v>5</v>
      </c>
      <c r="D370" s="81">
        <f t="shared" ca="1" si="15"/>
        <v>5</v>
      </c>
      <c r="E370" s="99">
        <f ca="1">VLOOKUP(B370,'Warehouse Inventory'!$I$2:$L$643,4,FALSE)</f>
        <v>0</v>
      </c>
      <c r="F370" s="108">
        <f ca="1">IFERROR(VLOOKUP(B370,'Warehouse B'!$I$2:$L$148,4,FALSE),"0")</f>
        <v>5</v>
      </c>
    </row>
    <row r="371" spans="1:6">
      <c r="A371" s="58" t="s">
        <v>439</v>
      </c>
      <c r="B371" s="80" t="s">
        <v>440</v>
      </c>
      <c r="C371" s="82">
        <f ca="1">VLOOKUP(B371,PARTS!$G$2:$H$434,2,FALSE)</f>
        <v>1</v>
      </c>
      <c r="D371" s="81">
        <f t="shared" ca="1" si="15"/>
        <v>1</v>
      </c>
      <c r="E371" s="99">
        <f ca="1">VLOOKUP(B371,'Warehouse Inventory'!$I$2:$L$643,4,FALSE)</f>
        <v>1</v>
      </c>
      <c r="F371" s="108" t="str">
        <f>IFERROR(VLOOKUP(B371,'Warehouse B'!$I$2:$L$148,4,FALSE),"0")</f>
        <v>0</v>
      </c>
    </row>
    <row r="372" spans="1:6">
      <c r="A372" s="58" t="s">
        <v>439</v>
      </c>
      <c r="B372" s="80" t="s">
        <v>441</v>
      </c>
      <c r="C372" s="82">
        <f ca="1">VLOOKUP(B372,PARTS!$G$2:$H$434,2,FALSE)</f>
        <v>0</v>
      </c>
      <c r="D372" s="81">
        <f t="shared" ca="1" si="15"/>
        <v>0</v>
      </c>
      <c r="E372" s="99">
        <f ca="1">VLOOKUP(B372,'Warehouse Inventory'!$I$2:$L$643,4,FALSE)</f>
        <v>0</v>
      </c>
      <c r="F372" s="108" t="str">
        <f>IFERROR(VLOOKUP(B372,'Warehouse B'!$I$2:$L$148,4,FALSE),"0")</f>
        <v>0</v>
      </c>
    </row>
    <row r="373" spans="1:6">
      <c r="A373" t="s">
        <v>191</v>
      </c>
      <c r="B373" s="80" t="s">
        <v>191</v>
      </c>
      <c r="C373" s="82">
        <f ca="1">VLOOKUP(B373,PARTS!$G$2:$H$434,2,FALSE)</f>
        <v>16</v>
      </c>
      <c r="D373" s="81">
        <f t="shared" ca="1" si="15"/>
        <v>0</v>
      </c>
      <c r="E373" s="99">
        <f ca="1">VLOOKUP(B373,'Warehouse Inventory'!$I$2:$L$643,4,FALSE)</f>
        <v>0</v>
      </c>
      <c r="F373" s="108" t="str">
        <f>IFERROR(VLOOKUP(B373,'Warehouse B'!$I$2:$L$148,4,FALSE),"0")</f>
        <v>0</v>
      </c>
    </row>
    <row r="374" spans="1:6">
      <c r="A374" s="56" t="s">
        <v>442</v>
      </c>
      <c r="B374" s="80" t="s">
        <v>192</v>
      </c>
      <c r="C374" s="82">
        <f ca="1">VLOOKUP(B374,PARTS!$G$2:$H$434,2,FALSE)</f>
        <v>8</v>
      </c>
      <c r="D374" s="81">
        <f t="shared" ca="1" si="15"/>
        <v>0</v>
      </c>
      <c r="E374" s="99">
        <f ca="1">VLOOKUP(B374,'Warehouse Inventory'!$I$2:$L$643,4,FALSE)</f>
        <v>0</v>
      </c>
      <c r="F374" s="108" t="str">
        <f>IFERROR(VLOOKUP(B374,'Warehouse B'!$I$2:$L$148,4,FALSE),"0")</f>
        <v>0</v>
      </c>
    </row>
    <row r="375" spans="1:6">
      <c r="A375" s="56" t="s">
        <v>442</v>
      </c>
      <c r="B375" s="80" t="s">
        <v>698</v>
      </c>
      <c r="C375" s="82">
        <f ca="1">VLOOKUP(B375,PARTS!$G$2:$H$434,2,FALSE)</f>
        <v>4</v>
      </c>
      <c r="D375" s="81">
        <f t="shared" ca="1" si="15"/>
        <v>4</v>
      </c>
      <c r="E375" s="99">
        <f ca="1">VLOOKUP(B375,'Warehouse Inventory'!$I$2:$L$643,4,FALSE)</f>
        <v>0</v>
      </c>
      <c r="F375" s="108">
        <f ca="1">IFERROR(VLOOKUP(B375,'Warehouse B'!$I$2:$L$148,4,FALSE),"0")</f>
        <v>4</v>
      </c>
    </row>
    <row r="376" spans="1:6">
      <c r="A376" t="s">
        <v>193</v>
      </c>
      <c r="B376" s="80" t="s">
        <v>193</v>
      </c>
      <c r="C376" s="82">
        <f ca="1">D376</f>
        <v>0</v>
      </c>
      <c r="D376" s="81">
        <f t="shared" ca="1" si="15"/>
        <v>0</v>
      </c>
      <c r="E376" s="99">
        <f ca="1">VLOOKUP(B376,'Warehouse Inventory'!$I$2:$L$643,4,FALSE)</f>
        <v>0</v>
      </c>
      <c r="F376" s="108" t="str">
        <f>IFERROR(VLOOKUP(B376,'Warehouse B'!$I$2:$L$148,4,FALSE),"0")</f>
        <v>0</v>
      </c>
    </row>
    <row r="377" spans="1:6">
      <c r="A377" t="s">
        <v>443</v>
      </c>
      <c r="B377" s="80" t="s">
        <v>443</v>
      </c>
      <c r="C377" s="82">
        <f t="shared" ref="C377:C379" ca="1" si="17">D377</f>
        <v>6</v>
      </c>
      <c r="D377" s="81">
        <f t="shared" ca="1" si="15"/>
        <v>6</v>
      </c>
      <c r="E377" s="99">
        <f ca="1">VLOOKUP(B377,'Warehouse Inventory'!$I$2:$L$643,4,FALSE)</f>
        <v>6</v>
      </c>
      <c r="F377" s="108" t="str">
        <f>IFERROR(VLOOKUP(B377,'Warehouse B'!$I$2:$L$148,4,FALSE),"0")</f>
        <v>0</v>
      </c>
    </row>
    <row r="378" spans="1:6">
      <c r="A378" t="s">
        <v>194</v>
      </c>
      <c r="B378" s="80" t="s">
        <v>194</v>
      </c>
      <c r="C378" s="82">
        <f t="shared" ca="1" si="17"/>
        <v>0</v>
      </c>
      <c r="D378" s="81">
        <f t="shared" ca="1" si="15"/>
        <v>0</v>
      </c>
      <c r="E378" s="99">
        <f ca="1">VLOOKUP(B378,'Warehouse Inventory'!$I$2:$L$643,4,FALSE)</f>
        <v>0</v>
      </c>
      <c r="F378" s="108" t="str">
        <f>IFERROR(VLOOKUP(B378,'Warehouse B'!$I$2:$L$148,4,FALSE),"0")</f>
        <v>0</v>
      </c>
    </row>
    <row r="379" spans="1:6">
      <c r="A379" t="s">
        <v>69</v>
      </c>
      <c r="B379" s="80" t="s">
        <v>69</v>
      </c>
      <c r="C379" s="82">
        <f t="shared" ca="1" si="17"/>
        <v>13</v>
      </c>
      <c r="D379" s="81">
        <f t="shared" ca="1" si="15"/>
        <v>13</v>
      </c>
      <c r="E379" s="99">
        <f ca="1">VLOOKUP(B379,'Warehouse Inventory'!$I$2:$L$643,4,FALSE)</f>
        <v>13</v>
      </c>
      <c r="F379" s="108" t="str">
        <f>IFERROR(VLOOKUP(B379,'Warehouse B'!$I$2:$L$148,4,FALSE),"0")</f>
        <v>0</v>
      </c>
    </row>
    <row r="380" spans="1:6">
      <c r="A380" s="61" t="s">
        <v>195</v>
      </c>
      <c r="B380" s="80" t="s">
        <v>195</v>
      </c>
      <c r="C380" s="82">
        <f ca="1">VLOOKUP(B380,PARTS!$G$2:$H$434,2,FALSE)</f>
        <v>28</v>
      </c>
      <c r="D380" s="81">
        <f t="shared" ca="1" si="15"/>
        <v>18</v>
      </c>
      <c r="E380" s="99">
        <f ca="1">VLOOKUP(B380,'Warehouse Inventory'!$I$2:$L$643,4,FALSE)</f>
        <v>18</v>
      </c>
      <c r="F380" s="108" t="str">
        <f>IFERROR(VLOOKUP(B380,'Warehouse B'!$I$2:$L$148,4,FALSE),"0")</f>
        <v>0</v>
      </c>
    </row>
    <row r="381" spans="1:6">
      <c r="A381" s="61" t="s">
        <v>195</v>
      </c>
      <c r="B381" s="80" t="s">
        <v>444</v>
      </c>
      <c r="C381" s="82">
        <f ca="1">VLOOKUP(B381,PARTS!$G$2:$H$434,2,FALSE)</f>
        <v>14</v>
      </c>
      <c r="D381" s="81">
        <f t="shared" ca="1" si="15"/>
        <v>0.5</v>
      </c>
      <c r="E381" s="99">
        <f ca="1">VLOOKUP(B381,'Warehouse Inventory'!$I$2:$L$643,4,FALSE)</f>
        <v>0.5</v>
      </c>
      <c r="F381" s="108" t="str">
        <f>IFERROR(VLOOKUP(B381,'Warehouse B'!$I$2:$L$148,4,FALSE),"0")</f>
        <v>0</v>
      </c>
    </row>
    <row r="382" spans="1:6">
      <c r="A382" s="61" t="s">
        <v>195</v>
      </c>
      <c r="B382" s="80" t="s">
        <v>196</v>
      </c>
      <c r="C382" s="82">
        <f ca="1">VLOOKUP(B382,PARTS!$G$2:$H$434,2,FALSE)</f>
        <v>7</v>
      </c>
      <c r="D382" s="81">
        <f t="shared" ca="1" si="15"/>
        <v>0</v>
      </c>
      <c r="E382" s="99">
        <f ca="1">VLOOKUP(B382,'Warehouse Inventory'!$I$2:$L$643,4,FALSE)</f>
        <v>0</v>
      </c>
      <c r="F382" s="108" t="str">
        <f>IFERROR(VLOOKUP(B382,'Warehouse B'!$I$2:$L$148,4,FALSE),"0")</f>
        <v>0</v>
      </c>
    </row>
    <row r="383" spans="1:6">
      <c r="A383" s="61" t="s">
        <v>195</v>
      </c>
      <c r="B383" s="80" t="s">
        <v>197</v>
      </c>
      <c r="C383" s="82">
        <f ca="1">VLOOKUP(B383,PARTS!$G$2:$H$434,2,FALSE)</f>
        <v>5</v>
      </c>
      <c r="D383" s="81">
        <f t="shared" ca="1" si="15"/>
        <v>1.8</v>
      </c>
      <c r="E383" s="99">
        <f ca="1">VLOOKUP(B383,'Warehouse Inventory'!$I$2:$L$643,4,FALSE)</f>
        <v>1.8</v>
      </c>
      <c r="F383" s="108" t="str">
        <f>IFERROR(VLOOKUP(B383,'Warehouse B'!$I$2:$L$148,4,FALSE),"0")</f>
        <v>0</v>
      </c>
    </row>
    <row r="384" spans="1:6">
      <c r="A384" s="56" t="s">
        <v>445</v>
      </c>
      <c r="B384" s="81" t="s">
        <v>445</v>
      </c>
      <c r="C384" s="82">
        <f ca="1">VLOOKUP(B384,PARTS!$G$2:$H$434,2,FALSE)</f>
        <v>25.999999999999993</v>
      </c>
      <c r="D384" s="81">
        <f t="shared" ca="1" si="15"/>
        <v>5</v>
      </c>
      <c r="E384" s="99">
        <f ca="1">VLOOKUP(B384,'Warehouse Inventory'!$I$2:$L$643,4,FALSE)</f>
        <v>5</v>
      </c>
      <c r="F384" s="108" t="str">
        <f>IFERROR(VLOOKUP(B384,'Warehouse B'!$I$2:$L$148,4,FALSE),"0")</f>
        <v>0</v>
      </c>
    </row>
    <row r="385" spans="1:6">
      <c r="A385" s="56" t="s">
        <v>445</v>
      </c>
      <c r="B385" s="81" t="s">
        <v>198</v>
      </c>
      <c r="C385" s="82">
        <f ca="1">VLOOKUP(B385,PARTS!$G$2:$H$434,2,FALSE)</f>
        <v>13</v>
      </c>
      <c r="D385" s="81">
        <f t="shared" ca="1" si="15"/>
        <v>2</v>
      </c>
      <c r="E385" s="99">
        <f ca="1">VLOOKUP(B385,'Warehouse Inventory'!$I$2:$L$643,4,FALSE)</f>
        <v>2</v>
      </c>
      <c r="F385" s="108" t="str">
        <f>IFERROR(VLOOKUP(B385,'Warehouse B'!$I$2:$L$148,4,FALSE),"0")</f>
        <v>0</v>
      </c>
    </row>
    <row r="386" spans="1:6">
      <c r="A386" s="56" t="s">
        <v>445</v>
      </c>
      <c r="B386" s="81" t="s">
        <v>199</v>
      </c>
      <c r="C386" s="82">
        <f ca="1">VLOOKUP(B386,PARTS!$G$2:$H$434,2,FALSE)</f>
        <v>6</v>
      </c>
      <c r="D386" s="81">
        <f t="shared" ca="1" si="15"/>
        <v>1</v>
      </c>
      <c r="E386" s="99">
        <f ca="1">VLOOKUP(B386,'Warehouse Inventory'!$I$2:$L$643,4,FALSE)</f>
        <v>1</v>
      </c>
      <c r="F386" s="108" t="str">
        <f>IFERROR(VLOOKUP(B386,'Warehouse B'!$I$2:$L$148,4,FALSE),"0")</f>
        <v>0</v>
      </c>
    </row>
    <row r="387" spans="1:6">
      <c r="A387" s="56" t="s">
        <v>445</v>
      </c>
      <c r="B387" s="81" t="s">
        <v>15</v>
      </c>
      <c r="C387" s="82">
        <f ca="1">VLOOKUP(B387,PARTS!$G$2:$H$434,2,FALSE)</f>
        <v>5</v>
      </c>
      <c r="D387" s="81">
        <f t="shared" ca="1" si="15"/>
        <v>2.5999999999999983</v>
      </c>
      <c r="E387" s="99">
        <f ca="1">VLOOKUP(B387,'Warehouse Inventory'!$I$2:$L$643,4,FALSE)</f>
        <v>0.6</v>
      </c>
      <c r="F387" s="108">
        <f ca="1">IFERROR(VLOOKUP(B387,'Warehouse B'!$I$2:$L$148,4,FALSE),"0")</f>
        <v>1.9999999999999982</v>
      </c>
    </row>
    <row r="388" spans="1:6">
      <c r="A388" s="62" t="s">
        <v>446</v>
      </c>
      <c r="B388" s="81" t="s">
        <v>446</v>
      </c>
      <c r="C388" s="82">
        <f ca="1">VLOOKUP(B388,PARTS!$G$2:$H$434,2,FALSE)</f>
        <v>12</v>
      </c>
      <c r="D388" s="81">
        <f t="shared" ca="1" si="15"/>
        <v>6</v>
      </c>
      <c r="E388" s="99">
        <f ca="1">VLOOKUP(B388,'Warehouse Inventory'!$I$2:$L$643,4,FALSE)</f>
        <v>6</v>
      </c>
      <c r="F388" s="108" t="str">
        <f>IFERROR(VLOOKUP(B388,'Warehouse B'!$I$2:$L$148,4,FALSE),"0")</f>
        <v>0</v>
      </c>
    </row>
    <row r="389" spans="1:6">
      <c r="A389" s="62" t="s">
        <v>446</v>
      </c>
      <c r="B389" s="81" t="s">
        <v>200</v>
      </c>
      <c r="C389" s="82">
        <f ca="1">VLOOKUP(B389,PARTS!$G$2:$H$434,2,FALSE)</f>
        <v>6</v>
      </c>
      <c r="D389" s="81">
        <f t="shared" ca="1" si="15"/>
        <v>3</v>
      </c>
      <c r="E389" s="99">
        <f ca="1">VLOOKUP(B389,'Warehouse Inventory'!$I$2:$L$643,4,FALSE)</f>
        <v>3</v>
      </c>
      <c r="F389" s="108" t="str">
        <f>IFERROR(VLOOKUP(B389,'Warehouse B'!$I$2:$L$148,4,FALSE),"0")</f>
        <v>0</v>
      </c>
    </row>
    <row r="390" spans="1:6">
      <c r="A390" s="56" t="s">
        <v>447</v>
      </c>
      <c r="B390" s="81" t="s">
        <v>201</v>
      </c>
      <c r="C390" s="82">
        <f ca="1">VLOOKUP(B390,PARTS!$G$2:$H$434,2,FALSE)</f>
        <v>9</v>
      </c>
      <c r="D390" s="81">
        <f t="shared" ca="1" si="15"/>
        <v>0</v>
      </c>
      <c r="E390" s="99">
        <f ca="1">VLOOKUP(B390,'Warehouse Inventory'!$I$2:$L$643,4,FALSE)</f>
        <v>0</v>
      </c>
      <c r="F390" s="108" t="str">
        <f>IFERROR(VLOOKUP(B390,'Warehouse B'!$I$2:$L$148,4,FALSE),"0")</f>
        <v>0</v>
      </c>
    </row>
    <row r="391" spans="1:6">
      <c r="A391" s="56" t="s">
        <v>447</v>
      </c>
      <c r="B391" s="81" t="s">
        <v>202</v>
      </c>
      <c r="C391" s="82">
        <f ca="1">VLOOKUP(B391,PARTS!$G$2:$H$434,2,FALSE)</f>
        <v>4</v>
      </c>
      <c r="D391" s="81">
        <f t="shared" ca="1" si="15"/>
        <v>0</v>
      </c>
      <c r="E391" s="99">
        <f ca="1">VLOOKUP(B391,'Warehouse Inventory'!$I$2:$L$643,4,FALSE)</f>
        <v>0</v>
      </c>
      <c r="F391" s="108" t="str">
        <f>IFERROR(VLOOKUP(B391,'Warehouse B'!$I$2:$L$148,4,FALSE),"0")</f>
        <v>0</v>
      </c>
    </row>
    <row r="392" spans="1:6">
      <c r="A392" s="56" t="s">
        <v>447</v>
      </c>
      <c r="B392" s="81" t="s">
        <v>203</v>
      </c>
      <c r="C392" s="82">
        <f ca="1">VLOOKUP(B392,PARTS!$G$2:$H$434,2,FALSE)</f>
        <v>2</v>
      </c>
      <c r="D392" s="81">
        <f t="shared" ref="D392:D455" ca="1" si="18">E392+F392</f>
        <v>0</v>
      </c>
      <c r="E392" s="99">
        <f ca="1">VLOOKUP(B392,'Warehouse Inventory'!$I$2:$L$643,4,FALSE)</f>
        <v>0</v>
      </c>
      <c r="F392" s="108" t="str">
        <f>IFERROR(VLOOKUP(B392,'Warehouse B'!$I$2:$L$148,4,FALSE),"0")</f>
        <v>0</v>
      </c>
    </row>
    <row r="393" spans="1:6">
      <c r="A393" s="56" t="s">
        <v>447</v>
      </c>
      <c r="B393" s="81" t="s">
        <v>204</v>
      </c>
      <c r="C393" s="82">
        <f ca="1">VLOOKUP(B393,PARTS!$G$2:$H$434,2,FALSE)</f>
        <v>1</v>
      </c>
      <c r="D393" s="81">
        <f t="shared" ca="1" si="18"/>
        <v>1.8</v>
      </c>
      <c r="E393" s="99">
        <f ca="1">VLOOKUP(B393,'Warehouse Inventory'!$I$2:$L$643,4,FALSE)</f>
        <v>1.8</v>
      </c>
      <c r="F393" s="108" t="str">
        <f>IFERROR(VLOOKUP(B393,'Warehouse B'!$I$2:$L$148,4,FALSE),"0")</f>
        <v>0</v>
      </c>
    </row>
    <row r="394" spans="1:6">
      <c r="A394" s="61" t="s">
        <v>448</v>
      </c>
      <c r="B394" s="81" t="s">
        <v>448</v>
      </c>
      <c r="C394" s="82">
        <f ca="1">VLOOKUP(B394,PARTS!$G$2:$H$434,2,FALSE)</f>
        <v>12</v>
      </c>
      <c r="D394" s="81">
        <f t="shared" ca="1" si="18"/>
        <v>0</v>
      </c>
      <c r="E394" s="99">
        <f ca="1">VLOOKUP(B394,'Warehouse Inventory'!$I$2:$L$643,4,FALSE)</f>
        <v>0</v>
      </c>
      <c r="F394" s="108" t="str">
        <f>IFERROR(VLOOKUP(B394,'Warehouse B'!$I$2:$L$148,4,FALSE),"0")</f>
        <v>0</v>
      </c>
    </row>
    <row r="395" spans="1:6">
      <c r="A395" s="61" t="s">
        <v>448</v>
      </c>
      <c r="B395" s="81" t="s">
        <v>449</v>
      </c>
      <c r="C395" s="82">
        <f ca="1">VLOOKUP(B395,PARTS!$G$2:$H$434,2,FALSE)</f>
        <v>6</v>
      </c>
      <c r="D395" s="81">
        <f t="shared" ca="1" si="18"/>
        <v>0</v>
      </c>
      <c r="E395" s="99">
        <f ca="1">VLOOKUP(B395,'Warehouse Inventory'!$I$2:$L$643,4,FALSE)</f>
        <v>0</v>
      </c>
      <c r="F395" s="108" t="str">
        <f>IFERROR(VLOOKUP(B395,'Warehouse B'!$I$2:$L$148,4,FALSE),"0")</f>
        <v>0</v>
      </c>
    </row>
    <row r="396" spans="1:6">
      <c r="A396" s="61" t="s">
        <v>448</v>
      </c>
      <c r="B396" s="81" t="s">
        <v>450</v>
      </c>
      <c r="C396" s="82">
        <f ca="1">VLOOKUP(B396,PARTS!$G$2:$H$434,2,FALSE)</f>
        <v>3</v>
      </c>
      <c r="D396" s="81">
        <f t="shared" ca="1" si="18"/>
        <v>3</v>
      </c>
      <c r="E396" s="99">
        <f ca="1">VLOOKUP(B396,'Warehouse Inventory'!$I$2:$L$643,4,FALSE)</f>
        <v>3</v>
      </c>
      <c r="F396" s="108" t="str">
        <f>IFERROR(VLOOKUP(B396,'Warehouse B'!$I$2:$L$148,4,FALSE),"0")</f>
        <v>0</v>
      </c>
    </row>
    <row r="397" spans="1:6">
      <c r="A397" s="62" t="s">
        <v>205</v>
      </c>
      <c r="B397" s="81" t="s">
        <v>205</v>
      </c>
      <c r="C397" s="82">
        <f ca="1">VLOOKUP(B397,PARTS!$G$2:$H$434,2,FALSE)</f>
        <v>24</v>
      </c>
      <c r="D397" s="81">
        <f t="shared" ca="1" si="18"/>
        <v>8</v>
      </c>
      <c r="E397" s="99">
        <f ca="1">VLOOKUP(B397,'Warehouse Inventory'!$I$2:$L$643,4,FALSE)</f>
        <v>8</v>
      </c>
      <c r="F397" s="108" t="str">
        <f>IFERROR(VLOOKUP(B397,'Warehouse B'!$I$2:$L$148,4,FALSE),"0")</f>
        <v>0</v>
      </c>
    </row>
    <row r="398" spans="1:6">
      <c r="A398" s="62" t="s">
        <v>205</v>
      </c>
      <c r="B398" s="81" t="s">
        <v>206</v>
      </c>
      <c r="C398" s="82">
        <f ca="1">VLOOKUP(B398,PARTS!$G$2:$H$434,2,FALSE)</f>
        <v>12</v>
      </c>
      <c r="D398" s="81">
        <f t="shared" ca="1" si="18"/>
        <v>4</v>
      </c>
      <c r="E398" s="99">
        <f ca="1">VLOOKUP(B398,'Warehouse Inventory'!$I$2:$L$643,4,FALSE)</f>
        <v>4</v>
      </c>
      <c r="F398" s="108" t="str">
        <f>IFERROR(VLOOKUP(B398,'Warehouse B'!$I$2:$L$148,4,FALSE),"0")</f>
        <v>0</v>
      </c>
    </row>
    <row r="399" spans="1:6">
      <c r="A399" s="62" t="s">
        <v>205</v>
      </c>
      <c r="B399" s="81" t="s">
        <v>207</v>
      </c>
      <c r="C399" s="82">
        <f ca="1">VLOOKUP(B399,PARTS!$G$2:$H$434,2,FALSE)</f>
        <v>6</v>
      </c>
      <c r="D399" s="81">
        <f t="shared" ca="1" si="18"/>
        <v>2</v>
      </c>
      <c r="E399" s="99">
        <f ca="1">VLOOKUP(B399,'Warehouse Inventory'!$I$2:$L$643,4,FALSE)</f>
        <v>2</v>
      </c>
      <c r="F399" s="108" t="str">
        <f>IFERROR(VLOOKUP(B399,'Warehouse B'!$I$2:$L$148,4,FALSE),"0")</f>
        <v>0</v>
      </c>
    </row>
    <row r="400" spans="1:6">
      <c r="A400" s="56" t="s">
        <v>208</v>
      </c>
      <c r="B400" s="81" t="s">
        <v>208</v>
      </c>
      <c r="C400" s="82">
        <f ca="1">VLOOKUP(B400,PARTS!$G$2:$H$434,2,FALSE)</f>
        <v>120</v>
      </c>
      <c r="D400" s="81">
        <f t="shared" ca="1" si="18"/>
        <v>0</v>
      </c>
      <c r="E400" s="99">
        <f ca="1">VLOOKUP(B400,'Warehouse Inventory'!$I$2:$L$643,4,FALSE)</f>
        <v>0</v>
      </c>
      <c r="F400" s="108" t="str">
        <f>IFERROR(VLOOKUP(B400,'Warehouse B'!$I$2:$L$148,4,FALSE),"0")</f>
        <v>0</v>
      </c>
    </row>
    <row r="401" spans="1:6">
      <c r="A401" s="56" t="s">
        <v>208</v>
      </c>
      <c r="B401" s="80" t="s">
        <v>209</v>
      </c>
      <c r="C401" s="82">
        <f ca="1">VLOOKUP(B401,PARTS!$G$2:$H$434,2,FALSE)</f>
        <v>60</v>
      </c>
      <c r="D401" s="81">
        <f t="shared" ca="1" si="18"/>
        <v>0</v>
      </c>
      <c r="E401" s="99">
        <f ca="1">VLOOKUP(B401,'Warehouse Inventory'!$I$2:$L$643,4,FALSE)</f>
        <v>0</v>
      </c>
      <c r="F401" s="108" t="str">
        <f>IFERROR(VLOOKUP(B401,'Warehouse B'!$I$2:$L$148,4,FALSE),"0")</f>
        <v>0</v>
      </c>
    </row>
    <row r="402" spans="1:6">
      <c r="A402" s="56" t="s">
        <v>208</v>
      </c>
      <c r="B402" s="80" t="s">
        <v>210</v>
      </c>
      <c r="C402" s="82">
        <f ca="1">VLOOKUP(B402,PARTS!$G$2:$H$434,2,FALSE)</f>
        <v>30</v>
      </c>
      <c r="D402" s="81">
        <f t="shared" ca="1" si="18"/>
        <v>30</v>
      </c>
      <c r="E402" s="99">
        <f ca="1">VLOOKUP(B402,'Warehouse Inventory'!$I$2:$L$643,4,FALSE)</f>
        <v>0</v>
      </c>
      <c r="F402" s="108">
        <f ca="1">IFERROR(VLOOKUP(B402,'Warehouse B'!$I$2:$L$148,4,FALSE),"0")</f>
        <v>30</v>
      </c>
    </row>
    <row r="403" spans="1:6">
      <c r="A403" t="s">
        <v>451</v>
      </c>
      <c r="B403" s="80" t="s">
        <v>451</v>
      </c>
      <c r="C403" s="82">
        <f ca="1">D403</f>
        <v>0</v>
      </c>
      <c r="D403" s="81">
        <f t="shared" ca="1" si="18"/>
        <v>0</v>
      </c>
      <c r="E403" s="99">
        <f ca="1">VLOOKUP(B403,'Warehouse Inventory'!$I$2:$L$643,4,FALSE)</f>
        <v>0</v>
      </c>
      <c r="F403" s="108" t="str">
        <f>IFERROR(VLOOKUP(B403,'Warehouse B'!$I$2:$L$148,4,FALSE),"0")</f>
        <v>0</v>
      </c>
    </row>
    <row r="404" spans="1:6">
      <c r="A404" s="61" t="s">
        <v>211</v>
      </c>
      <c r="B404" s="80" t="s">
        <v>211</v>
      </c>
      <c r="C404" s="82">
        <f ca="1">VLOOKUP(B404,PARTS!$G$2:$H$434,2,FALSE)</f>
        <v>12</v>
      </c>
      <c r="D404" s="81">
        <f t="shared" ca="1" si="18"/>
        <v>12</v>
      </c>
      <c r="E404" s="99">
        <f ca="1">VLOOKUP(B404,'Warehouse Inventory'!$I$2:$L$643,4,FALSE)</f>
        <v>12</v>
      </c>
      <c r="F404" s="108" t="str">
        <f>IFERROR(VLOOKUP(B404,'Warehouse B'!$I$2:$L$148,4,FALSE),"0")</f>
        <v>0</v>
      </c>
    </row>
    <row r="405" spans="1:6">
      <c r="A405" s="61" t="s">
        <v>211</v>
      </c>
      <c r="B405" s="80" t="s">
        <v>452</v>
      </c>
      <c r="C405" s="82">
        <f ca="1">VLOOKUP(B405,PARTS!$G$2:$H$434,2,FALSE)</f>
        <v>6</v>
      </c>
      <c r="D405" s="81">
        <f t="shared" ca="1" si="18"/>
        <v>0</v>
      </c>
      <c r="E405" s="99">
        <f ca="1">VLOOKUP(B405,'Warehouse Inventory'!$I$2:$L$643,4,FALSE)</f>
        <v>0</v>
      </c>
      <c r="F405" s="108" t="str">
        <f>IFERROR(VLOOKUP(B405,'Warehouse B'!$I$2:$L$148,4,FALSE),"0")</f>
        <v>0</v>
      </c>
    </row>
    <row r="406" spans="1:6">
      <c r="A406" s="56" t="s">
        <v>212</v>
      </c>
      <c r="B406" s="80" t="s">
        <v>212</v>
      </c>
      <c r="C406" s="82">
        <f ca="1">VLOOKUP(B406,PARTS!$G$2:$H$434,2,FALSE)</f>
        <v>0</v>
      </c>
      <c r="D406" s="81">
        <f t="shared" ca="1" si="18"/>
        <v>0</v>
      </c>
      <c r="E406" s="99">
        <f ca="1">VLOOKUP(B406,'Warehouse Inventory'!$I$2:$L$643,4,FALSE)</f>
        <v>0</v>
      </c>
      <c r="F406" s="108" t="str">
        <f>IFERROR(VLOOKUP(B406,'Warehouse B'!$I$2:$L$148,4,FALSE),"0")</f>
        <v>0</v>
      </c>
    </row>
    <row r="407" spans="1:6">
      <c r="A407" s="56" t="s">
        <v>212</v>
      </c>
      <c r="B407" s="80" t="s">
        <v>213</v>
      </c>
      <c r="C407" s="82">
        <f ca="1">VLOOKUP(B407,PARTS!$G$2:$H$434,2,FALSE)</f>
        <v>0</v>
      </c>
      <c r="D407" s="81">
        <f t="shared" ca="1" si="18"/>
        <v>0</v>
      </c>
      <c r="E407" s="99">
        <f ca="1">VLOOKUP(B407,'Warehouse Inventory'!$I$2:$L$643,4,FALSE)</f>
        <v>0</v>
      </c>
      <c r="F407" s="108" t="str">
        <f>IFERROR(VLOOKUP(B407,'Warehouse B'!$I$2:$L$148,4,FALSE),"0")</f>
        <v>0</v>
      </c>
    </row>
    <row r="408" spans="1:6">
      <c r="A408" s="56" t="s">
        <v>212</v>
      </c>
      <c r="B408" s="80" t="s">
        <v>453</v>
      </c>
      <c r="C408" s="82">
        <f ca="1">VLOOKUP(B408,PARTS!$G$2:$H$434,2,FALSE)</f>
        <v>0</v>
      </c>
      <c r="D408" s="81">
        <f t="shared" ca="1" si="18"/>
        <v>0</v>
      </c>
      <c r="E408" s="99">
        <f ca="1">VLOOKUP(B408,'Warehouse Inventory'!$I$2:$L$643,4,FALSE)</f>
        <v>0</v>
      </c>
      <c r="F408" s="108" t="str">
        <f>IFERROR(VLOOKUP(B408,'Warehouse B'!$I$2:$L$148,4,FALSE),"0")</f>
        <v>0</v>
      </c>
    </row>
    <row r="409" spans="1:6">
      <c r="A409" s="62" t="s">
        <v>454</v>
      </c>
      <c r="B409" s="80" t="s">
        <v>454</v>
      </c>
      <c r="C409" s="82">
        <f ca="1">VLOOKUP(B409,PARTS!$G$2:$H$434,2,FALSE)</f>
        <v>0</v>
      </c>
      <c r="D409" s="81">
        <f t="shared" ca="1" si="18"/>
        <v>0</v>
      </c>
      <c r="E409" s="99">
        <f ca="1">VLOOKUP(B409,'Warehouse Inventory'!$I$2:$L$643,4,FALSE)</f>
        <v>0</v>
      </c>
      <c r="F409" s="108" t="str">
        <f>IFERROR(VLOOKUP(B409,'Warehouse B'!$I$2:$L$148,4,FALSE),"0")</f>
        <v>0</v>
      </c>
    </row>
    <row r="410" spans="1:6">
      <c r="A410" s="62" t="s">
        <v>454</v>
      </c>
      <c r="B410" s="80" t="s">
        <v>455</v>
      </c>
      <c r="C410" s="82">
        <f ca="1">VLOOKUP(B410,PARTS!$G$2:$H$434,2,FALSE)</f>
        <v>0</v>
      </c>
      <c r="D410" s="81">
        <f t="shared" ca="1" si="18"/>
        <v>0</v>
      </c>
      <c r="E410" s="99">
        <f ca="1">VLOOKUP(B410,'Warehouse Inventory'!$I$2:$L$643,4,FALSE)</f>
        <v>0</v>
      </c>
      <c r="F410" s="108" t="str">
        <f>IFERROR(VLOOKUP(B410,'Warehouse B'!$I$2:$L$148,4,FALSE),"0")</f>
        <v>0</v>
      </c>
    </row>
    <row r="411" spans="1:6">
      <c r="A411" s="62" t="s">
        <v>454</v>
      </c>
      <c r="B411" s="80" t="s">
        <v>691</v>
      </c>
      <c r="C411" s="82">
        <f ca="1">VLOOKUP(B411,PARTS!$G$2:$H$434,2,FALSE)</f>
        <v>0</v>
      </c>
      <c r="D411" s="81">
        <f t="shared" ca="1" si="18"/>
        <v>0</v>
      </c>
      <c r="E411" s="99">
        <f ca="1">VLOOKUP(B411,'Warehouse Inventory'!$I$2:$L$643,4,FALSE)</f>
        <v>0</v>
      </c>
      <c r="F411" s="108" t="str">
        <f>IFERROR(VLOOKUP(B411,'Warehouse B'!$I$2:$L$148,4,FALSE),"0")</f>
        <v>0</v>
      </c>
    </row>
    <row r="412" spans="1:6">
      <c r="A412" s="56" t="s">
        <v>214</v>
      </c>
      <c r="B412" s="80" t="s">
        <v>214</v>
      </c>
      <c r="C412" s="82">
        <f ca="1">VLOOKUP(B412,PARTS!$G$2:$H$434,2,FALSE)</f>
        <v>16</v>
      </c>
      <c r="D412" s="81">
        <f t="shared" ca="1" si="18"/>
        <v>0</v>
      </c>
      <c r="E412" s="99">
        <f ca="1">VLOOKUP(B412,'Warehouse Inventory'!$I$2:$L$643,4,FALSE)</f>
        <v>0</v>
      </c>
      <c r="F412" s="108" t="str">
        <f>IFERROR(VLOOKUP(B412,'Warehouse B'!$I$2:$L$148,4,FALSE),"0")</f>
        <v>0</v>
      </c>
    </row>
    <row r="413" spans="1:6">
      <c r="A413" s="56" t="s">
        <v>214</v>
      </c>
      <c r="B413" s="80" t="s">
        <v>215</v>
      </c>
      <c r="C413" s="82">
        <f ca="1">VLOOKUP(B413,PARTS!$G$2:$H$434,2,FALSE)</f>
        <v>8</v>
      </c>
      <c r="D413" s="81">
        <f t="shared" ca="1" si="18"/>
        <v>0</v>
      </c>
      <c r="E413" s="99">
        <f ca="1">VLOOKUP(B413,'Warehouse Inventory'!$I$2:$L$643,4,FALSE)</f>
        <v>0</v>
      </c>
      <c r="F413" s="108" t="str">
        <f>IFERROR(VLOOKUP(B413,'Warehouse B'!$I$2:$L$148,4,FALSE),"0")</f>
        <v>0</v>
      </c>
    </row>
    <row r="414" spans="1:6">
      <c r="A414" s="56" t="s">
        <v>214</v>
      </c>
      <c r="B414" s="80" t="s">
        <v>216</v>
      </c>
      <c r="C414" s="82">
        <f ca="1">VLOOKUP(B414,PARTS!$G$2:$H$434,2,FALSE)</f>
        <v>4</v>
      </c>
      <c r="D414" s="81">
        <f t="shared" ca="1" si="18"/>
        <v>4</v>
      </c>
      <c r="E414" s="99">
        <f ca="1">VLOOKUP(B414,'Warehouse Inventory'!$I$2:$L$643,4,FALSE)</f>
        <v>4</v>
      </c>
      <c r="F414" s="108" t="str">
        <f>IFERROR(VLOOKUP(B414,'Warehouse B'!$I$2:$L$148,4,FALSE),"0")</f>
        <v>0</v>
      </c>
    </row>
    <row r="415" spans="1:6">
      <c r="A415" t="s">
        <v>456</v>
      </c>
      <c r="B415" s="80" t="s">
        <v>456</v>
      </c>
      <c r="C415" s="82">
        <f ca="1">D415</f>
        <v>0</v>
      </c>
      <c r="D415" s="81">
        <f t="shared" ca="1" si="18"/>
        <v>0</v>
      </c>
      <c r="E415" s="99">
        <f ca="1">VLOOKUP(B415,'Warehouse Inventory'!$I$2:$L$643,4,FALSE)</f>
        <v>0</v>
      </c>
      <c r="F415" s="108" t="str">
        <f>IFERROR(VLOOKUP(B415,'Warehouse B'!$I$2:$L$148,4,FALSE),"0")</f>
        <v>0</v>
      </c>
    </row>
    <row r="416" spans="1:6">
      <c r="A416" t="s">
        <v>724</v>
      </c>
      <c r="B416" s="81" t="s">
        <v>724</v>
      </c>
      <c r="C416" s="82">
        <f t="shared" ref="C416:C419" ca="1" si="19">D416</f>
        <v>0</v>
      </c>
      <c r="D416" s="81">
        <f t="shared" ca="1" si="18"/>
        <v>0</v>
      </c>
      <c r="E416" s="99">
        <f ca="1">VLOOKUP(B416,'Warehouse Inventory'!$I$2:$L$643,4,FALSE)</f>
        <v>0</v>
      </c>
      <c r="F416" s="108" t="str">
        <f>IFERROR(VLOOKUP(B416,'Warehouse B'!$I$2:$L$148,4,FALSE),"0")</f>
        <v>0</v>
      </c>
    </row>
    <row r="417" spans="1:6">
      <c r="A417" t="s">
        <v>457</v>
      </c>
      <c r="B417" s="80" t="s">
        <v>457</v>
      </c>
      <c r="C417" s="82">
        <f t="shared" ca="1" si="19"/>
        <v>10</v>
      </c>
      <c r="D417" s="81">
        <f t="shared" ca="1" si="18"/>
        <v>10</v>
      </c>
      <c r="E417" s="99">
        <f ca="1">VLOOKUP(B417,'Warehouse Inventory'!$I$2:$L$643,4,FALSE)</f>
        <v>10</v>
      </c>
      <c r="F417" s="108" t="str">
        <f>IFERROR(VLOOKUP(B417,'Warehouse B'!$I$2:$L$148,4,FALSE),"0")</f>
        <v>0</v>
      </c>
    </row>
    <row r="418" spans="1:6">
      <c r="A418" t="s">
        <v>458</v>
      </c>
      <c r="B418" s="80" t="s">
        <v>458</v>
      </c>
      <c r="C418" s="82">
        <f t="shared" ca="1" si="19"/>
        <v>10</v>
      </c>
      <c r="D418" s="81">
        <f t="shared" ca="1" si="18"/>
        <v>10</v>
      </c>
      <c r="E418" s="99">
        <f ca="1">VLOOKUP(B418,'Warehouse Inventory'!$I$2:$L$643,4,FALSE)</f>
        <v>10</v>
      </c>
      <c r="F418" s="108" t="str">
        <f>IFERROR(VLOOKUP(B418,'Warehouse B'!$I$2:$L$148,4,FALSE),"0")</f>
        <v>0</v>
      </c>
    </row>
    <row r="419" spans="1:6">
      <c r="A419" t="s">
        <v>459</v>
      </c>
      <c r="B419" s="80" t="s">
        <v>459</v>
      </c>
      <c r="C419" s="82">
        <f t="shared" ca="1" si="19"/>
        <v>0</v>
      </c>
      <c r="D419" s="81">
        <f t="shared" ca="1" si="18"/>
        <v>0</v>
      </c>
      <c r="E419" s="99">
        <f ca="1">VLOOKUP(B419,'Warehouse Inventory'!$I$2:$L$643,4,FALSE)</f>
        <v>0</v>
      </c>
      <c r="F419" s="108" t="str">
        <f>IFERROR(VLOOKUP(B419,'Warehouse B'!$I$2:$L$148,4,FALSE),"0")</f>
        <v>0</v>
      </c>
    </row>
    <row r="420" spans="1:6">
      <c r="A420" s="61" t="s">
        <v>703</v>
      </c>
      <c r="B420" s="80" t="s">
        <v>765</v>
      </c>
      <c r="C420" s="82">
        <f ca="1">VLOOKUP(B420,PARTS!$G$2:$H$434,2,FALSE)</f>
        <v>0</v>
      </c>
      <c r="D420" s="81">
        <f t="shared" ca="1" si="18"/>
        <v>0</v>
      </c>
      <c r="E420" s="99">
        <f ca="1">VLOOKUP(B420,'Warehouse Inventory'!$I$2:$L$643,4,FALSE)</f>
        <v>0</v>
      </c>
      <c r="F420" s="108" t="str">
        <f>IFERROR(VLOOKUP(B420,'Warehouse B'!$I$2:$L$148,4,FALSE),"0")</f>
        <v>0</v>
      </c>
    </row>
    <row r="421" spans="1:6">
      <c r="A421" s="61" t="s">
        <v>703</v>
      </c>
      <c r="B421" s="80" t="s">
        <v>704</v>
      </c>
      <c r="C421" s="82">
        <f ca="1">VLOOKUP(B421,PARTS!$G$2:$H$434,2,FALSE)</f>
        <v>0</v>
      </c>
      <c r="D421" s="81">
        <f t="shared" ca="1" si="18"/>
        <v>0</v>
      </c>
      <c r="E421" s="99">
        <f ca="1">VLOOKUP(B421,'Warehouse Inventory'!$I$2:$L$643,4,FALSE)</f>
        <v>0</v>
      </c>
      <c r="F421" s="108" t="str">
        <f>IFERROR(VLOOKUP(B421,'Warehouse B'!$I$2:$L$148,4,FALSE),"0")</f>
        <v>0</v>
      </c>
    </row>
    <row r="422" spans="1:6">
      <c r="A422" s="62" t="s">
        <v>667</v>
      </c>
      <c r="B422" s="80" t="s">
        <v>217</v>
      </c>
      <c r="C422" s="82">
        <f ca="1">VLOOKUP(B422,PARTS!$G$2:$H$434,2,FALSE)</f>
        <v>0</v>
      </c>
      <c r="D422" s="81">
        <f t="shared" ca="1" si="18"/>
        <v>0</v>
      </c>
      <c r="E422" s="99">
        <f ca="1">VLOOKUP(B422,'Warehouse Inventory'!$I$2:$L$643,4,FALSE)</f>
        <v>0</v>
      </c>
      <c r="F422" s="108" t="str">
        <f>IFERROR(VLOOKUP(B422,'Warehouse B'!$I$2:$L$148,4,FALSE),"0")</f>
        <v>0</v>
      </c>
    </row>
    <row r="423" spans="1:6">
      <c r="A423" s="62" t="s">
        <v>667</v>
      </c>
      <c r="B423" s="80" t="s">
        <v>218</v>
      </c>
      <c r="C423" s="82">
        <f ca="1">VLOOKUP(B423,PARTS!$G$2:$H$434,2,FALSE)</f>
        <v>0</v>
      </c>
      <c r="D423" s="81">
        <f t="shared" ca="1" si="18"/>
        <v>0</v>
      </c>
      <c r="E423" s="99">
        <f ca="1">VLOOKUP(B423,'Warehouse Inventory'!$I$2:$L$643,4,FALSE)</f>
        <v>0</v>
      </c>
      <c r="F423" s="108" t="str">
        <f>IFERROR(VLOOKUP(B423,'Warehouse B'!$I$2:$L$148,4,FALSE),"0")</f>
        <v>0</v>
      </c>
    </row>
    <row r="424" spans="1:6">
      <c r="A424" s="56" t="s">
        <v>702</v>
      </c>
      <c r="B424" s="80" t="s">
        <v>766</v>
      </c>
      <c r="C424" s="82">
        <f ca="1">VLOOKUP(B424,PARTS!$G$2:$H$434,2,FALSE)</f>
        <v>0</v>
      </c>
      <c r="D424" s="81">
        <f t="shared" ca="1" si="18"/>
        <v>0</v>
      </c>
      <c r="E424" s="99">
        <f ca="1">VLOOKUP(B424,'Warehouse Inventory'!$I$2:$L$643,4,FALSE)</f>
        <v>0</v>
      </c>
      <c r="F424" s="108" t="str">
        <f>IFERROR(VLOOKUP(B424,'Warehouse B'!$I$2:$L$148,4,FALSE),"0")</f>
        <v>0</v>
      </c>
    </row>
    <row r="425" spans="1:6">
      <c r="A425" s="56" t="s">
        <v>702</v>
      </c>
      <c r="B425" s="80" t="s">
        <v>701</v>
      </c>
      <c r="C425" s="82">
        <f ca="1">VLOOKUP(B425,PARTS!$G$2:$H$434,2,FALSE)</f>
        <v>0</v>
      </c>
      <c r="D425" s="81">
        <f t="shared" ca="1" si="18"/>
        <v>0</v>
      </c>
      <c r="E425" s="99">
        <f ca="1">VLOOKUP(B425,'Warehouse Inventory'!$I$2:$L$643,4,FALSE)</f>
        <v>0</v>
      </c>
      <c r="F425" s="108" t="str">
        <f>IFERROR(VLOOKUP(B425,'Warehouse B'!$I$2:$L$148,4,FALSE),"0")</f>
        <v>0</v>
      </c>
    </row>
    <row r="426" spans="1:6">
      <c r="A426" t="s">
        <v>725</v>
      </c>
      <c r="B426" s="81" t="s">
        <v>725</v>
      </c>
      <c r="C426" s="82">
        <f ca="1">D426</f>
        <v>3</v>
      </c>
      <c r="D426" s="81">
        <f t="shared" ca="1" si="18"/>
        <v>3</v>
      </c>
      <c r="E426" s="99">
        <f ca="1">VLOOKUP(B426,'Warehouse Inventory'!$I$2:$L$643,4,FALSE)</f>
        <v>3</v>
      </c>
      <c r="F426" s="108" t="str">
        <f>IFERROR(VLOOKUP(B426,'Warehouse B'!$I$2:$L$148,4,FALSE),"0")</f>
        <v>0</v>
      </c>
    </row>
    <row r="427" spans="1:6">
      <c r="A427" t="s">
        <v>726</v>
      </c>
      <c r="B427" s="81" t="s">
        <v>726</v>
      </c>
      <c r="C427" s="82">
        <f t="shared" ref="C427:C431" ca="1" si="20">D427</f>
        <v>0</v>
      </c>
      <c r="D427" s="81">
        <f t="shared" ca="1" si="18"/>
        <v>0</v>
      </c>
      <c r="E427" s="99">
        <f ca="1">VLOOKUP(B427,'Warehouse Inventory'!$I$2:$L$643,4,FALSE)</f>
        <v>0</v>
      </c>
      <c r="F427" s="108" t="str">
        <f>IFERROR(VLOOKUP(B427,'Warehouse B'!$I$2:$L$148,4,FALSE),"0")</f>
        <v>0</v>
      </c>
    </row>
    <row r="428" spans="1:6">
      <c r="A428" t="s">
        <v>727</v>
      </c>
      <c r="B428" s="81" t="s">
        <v>727</v>
      </c>
      <c r="C428" s="82">
        <f t="shared" ca="1" si="20"/>
        <v>0</v>
      </c>
      <c r="D428" s="81">
        <f t="shared" ca="1" si="18"/>
        <v>0</v>
      </c>
      <c r="E428" s="99">
        <f ca="1">VLOOKUP(B428,'Warehouse Inventory'!$I$2:$L$643,4,FALSE)</f>
        <v>0</v>
      </c>
      <c r="F428" s="108" t="str">
        <f>IFERROR(VLOOKUP(B428,'Warehouse B'!$I$2:$L$148,4,FALSE),"0")</f>
        <v>0</v>
      </c>
    </row>
    <row r="429" spans="1:6">
      <c r="A429" t="s">
        <v>460</v>
      </c>
      <c r="B429" s="80" t="s">
        <v>460</v>
      </c>
      <c r="C429" s="82">
        <f t="shared" ca="1" si="20"/>
        <v>0</v>
      </c>
      <c r="D429" s="81">
        <f t="shared" ca="1" si="18"/>
        <v>0</v>
      </c>
      <c r="E429" s="99">
        <f ca="1">VLOOKUP(B429,'Warehouse Inventory'!$I$2:$L$643,4,FALSE)</f>
        <v>0</v>
      </c>
      <c r="F429" s="108" t="str">
        <f>IFERROR(VLOOKUP(B429,'Warehouse B'!$I$2:$L$148,4,FALSE),"0")</f>
        <v>0</v>
      </c>
    </row>
    <row r="430" spans="1:6">
      <c r="A430" t="s">
        <v>728</v>
      </c>
      <c r="B430" s="81" t="s">
        <v>728</v>
      </c>
      <c r="C430" s="82">
        <f t="shared" ca="1" si="20"/>
        <v>0</v>
      </c>
      <c r="D430" s="81">
        <f t="shared" ca="1" si="18"/>
        <v>0</v>
      </c>
      <c r="E430" s="99">
        <f ca="1">VLOOKUP(B430,'Warehouse Inventory'!$I$2:$L$643,4,FALSE)</f>
        <v>0</v>
      </c>
      <c r="F430" s="108" t="str">
        <f>IFERROR(VLOOKUP(B430,'Warehouse B'!$I$2:$L$148,4,FALSE),"0")</f>
        <v>0</v>
      </c>
    </row>
    <row r="431" spans="1:6">
      <c r="A431" t="s">
        <v>729</v>
      </c>
      <c r="B431" s="81" t="s">
        <v>729</v>
      </c>
      <c r="C431" s="82">
        <f t="shared" ca="1" si="20"/>
        <v>0</v>
      </c>
      <c r="D431" s="81">
        <f t="shared" ca="1" si="18"/>
        <v>0</v>
      </c>
      <c r="E431" s="99">
        <f ca="1">VLOOKUP(B431,'Warehouse Inventory'!$I$2:$L$643,4,FALSE)</f>
        <v>0</v>
      </c>
      <c r="F431" s="108" t="str">
        <f>IFERROR(VLOOKUP(B431,'Warehouse B'!$I$2:$L$148,4,FALSE),"0")</f>
        <v>0</v>
      </c>
    </row>
    <row r="432" spans="1:6">
      <c r="A432" s="62" t="s">
        <v>461</v>
      </c>
      <c r="B432" s="80" t="s">
        <v>219</v>
      </c>
      <c r="C432" s="82">
        <f ca="1">VLOOKUP(B432,PARTS!$G$2:$H$434,2,FALSE)</f>
        <v>75</v>
      </c>
      <c r="D432" s="81">
        <f t="shared" ca="1" si="18"/>
        <v>0</v>
      </c>
      <c r="E432" s="99">
        <f ca="1">VLOOKUP(B432,'Warehouse Inventory'!$I$2:$L$643,4,FALSE)</f>
        <v>0</v>
      </c>
      <c r="F432" s="108" t="str">
        <f>IFERROR(VLOOKUP(B432,'Warehouse B'!$I$2:$L$148,4,FALSE),"0")</f>
        <v>0</v>
      </c>
    </row>
    <row r="433" spans="1:6">
      <c r="A433" s="62" t="s">
        <v>461</v>
      </c>
      <c r="B433" s="80" t="s">
        <v>220</v>
      </c>
      <c r="C433" s="82">
        <f ca="1">VLOOKUP(B433,PARTS!$G$2:$H$434,2,FALSE)</f>
        <v>37</v>
      </c>
      <c r="D433" s="81">
        <f t="shared" ca="1" si="18"/>
        <v>3</v>
      </c>
      <c r="E433" s="99">
        <f ca="1">VLOOKUP(B433,'Warehouse Inventory'!$I$2:$L$643,4,FALSE)</f>
        <v>0</v>
      </c>
      <c r="F433" s="108">
        <f ca="1">IFERROR(VLOOKUP(B433,'Warehouse B'!$I$2:$L$148,4,FALSE),"0")</f>
        <v>3</v>
      </c>
    </row>
    <row r="434" spans="1:6">
      <c r="A434" s="62" t="s">
        <v>461</v>
      </c>
      <c r="B434" s="80" t="s">
        <v>221</v>
      </c>
      <c r="C434" s="82">
        <f ca="1">VLOOKUP(B434,PARTS!$G$2:$H$434,2,FALSE)</f>
        <v>18</v>
      </c>
      <c r="D434" s="81">
        <f t="shared" ca="1" si="18"/>
        <v>17.25</v>
      </c>
      <c r="E434" s="99">
        <f ca="1">VLOOKUP(B434,'Warehouse Inventory'!$I$2:$L$643,4,FALSE)</f>
        <v>0</v>
      </c>
      <c r="F434" s="108">
        <f ca="1">IFERROR(VLOOKUP(B434,'Warehouse B'!$I$2:$L$148,4,FALSE),"0")</f>
        <v>17.25</v>
      </c>
    </row>
    <row r="435" spans="1:6">
      <c r="A435" s="63" t="s">
        <v>730</v>
      </c>
      <c r="B435" s="80" t="s">
        <v>730</v>
      </c>
      <c r="C435" s="82">
        <f ca="1">VLOOKUP(B435,PARTS!$G$2:$H$434,2,FALSE)</f>
        <v>4</v>
      </c>
      <c r="D435" s="81">
        <f t="shared" ca="1" si="18"/>
        <v>0</v>
      </c>
      <c r="E435" s="99">
        <f ca="1">VLOOKUP(B435,'Warehouse Inventory'!$I$2:$L$643,4,FALSE)</f>
        <v>0</v>
      </c>
      <c r="F435" s="108" t="str">
        <f>IFERROR(VLOOKUP(B435,'Warehouse B'!$I$2:$L$148,4,FALSE),"0")</f>
        <v>0</v>
      </c>
    </row>
    <row r="436" spans="1:6">
      <c r="A436" s="61" t="s">
        <v>222</v>
      </c>
      <c r="B436" s="80" t="s">
        <v>222</v>
      </c>
      <c r="C436" s="82">
        <f ca="1">VLOOKUP(B436,PARTS!$G$2:$H$434,2,FALSE)</f>
        <v>2</v>
      </c>
      <c r="D436" s="81">
        <f t="shared" ca="1" si="18"/>
        <v>2</v>
      </c>
      <c r="E436" s="99">
        <f ca="1">VLOOKUP(B436,'Warehouse Inventory'!$I$2:$L$643,4,FALSE)</f>
        <v>2</v>
      </c>
      <c r="F436" s="108" t="str">
        <f>IFERROR(VLOOKUP(B436,'Warehouse B'!$I$2:$L$148,4,FALSE),"0")</f>
        <v>0</v>
      </c>
    </row>
    <row r="437" spans="1:6">
      <c r="A437" s="56" t="s">
        <v>688</v>
      </c>
      <c r="B437" s="81" t="s">
        <v>688</v>
      </c>
      <c r="C437" s="82">
        <f ca="1">VLOOKUP(B437,PARTS!$G$2:$H$434,2,FALSE)</f>
        <v>12</v>
      </c>
      <c r="D437" s="81">
        <f t="shared" ca="1" si="18"/>
        <v>0</v>
      </c>
      <c r="E437" s="99">
        <f ca="1">VLOOKUP(B437,'Warehouse Inventory'!$I$2:$L$643,4,FALSE)</f>
        <v>0</v>
      </c>
      <c r="F437" s="108" t="str">
        <f>IFERROR(VLOOKUP(B437,'Warehouse B'!$I$2:$L$148,4,FALSE),"0")</f>
        <v>0</v>
      </c>
    </row>
    <row r="438" spans="1:6">
      <c r="A438" s="64" t="s">
        <v>689</v>
      </c>
      <c r="B438" s="80" t="s">
        <v>689</v>
      </c>
      <c r="C438" s="82">
        <f ca="1">VLOOKUP(B438,PARTS!$G$2:$H$434,2,FALSE)</f>
        <v>6</v>
      </c>
      <c r="D438" s="81">
        <f t="shared" ca="1" si="18"/>
        <v>6</v>
      </c>
      <c r="E438" s="99">
        <f ca="1">VLOOKUP(B438,'Warehouse Inventory'!$I$2:$L$643,4,FALSE)</f>
        <v>6</v>
      </c>
      <c r="F438" s="108" t="str">
        <f>IFERROR(VLOOKUP(B438,'Warehouse B'!$I$2:$L$148,4,FALSE),"0")</f>
        <v>0</v>
      </c>
    </row>
    <row r="439" spans="1:6">
      <c r="A439" s="61" t="s">
        <v>462</v>
      </c>
      <c r="B439" s="80" t="s">
        <v>223</v>
      </c>
      <c r="C439" s="82">
        <f ca="1">VLOOKUP(B439,PARTS!$G$2:$H$434,2,FALSE)</f>
        <v>86</v>
      </c>
      <c r="D439" s="81">
        <f t="shared" ca="1" si="18"/>
        <v>0</v>
      </c>
      <c r="E439" s="99">
        <f ca="1">VLOOKUP(B439,'Warehouse Inventory'!$I$2:$L$643,4,FALSE)</f>
        <v>0</v>
      </c>
      <c r="F439" s="108" t="str">
        <f>IFERROR(VLOOKUP(B439,'Warehouse B'!$I$2:$L$148,4,FALSE),"0")</f>
        <v>0</v>
      </c>
    </row>
    <row r="440" spans="1:6">
      <c r="A440" s="61" t="s">
        <v>462</v>
      </c>
      <c r="B440" s="80" t="s">
        <v>224</v>
      </c>
      <c r="C440" s="82">
        <f ca="1">VLOOKUP(B440,PARTS!$G$2:$H$434,2,FALSE)</f>
        <v>43</v>
      </c>
      <c r="D440" s="81">
        <f t="shared" ca="1" si="18"/>
        <v>1</v>
      </c>
      <c r="E440" s="99">
        <f ca="1">VLOOKUP(B440,'Warehouse Inventory'!$I$2:$L$643,4,FALSE)</f>
        <v>0</v>
      </c>
      <c r="F440" s="108">
        <f ca="1">IFERROR(VLOOKUP(B440,'Warehouse B'!$I$2:$L$148,4,FALSE),"0")</f>
        <v>1</v>
      </c>
    </row>
    <row r="441" spans="1:6">
      <c r="A441" s="61" t="s">
        <v>462</v>
      </c>
      <c r="B441" s="80" t="s">
        <v>225</v>
      </c>
      <c r="C441" s="82">
        <f ca="1">VLOOKUP(B441,PARTS!$G$2:$H$434,2,FALSE)</f>
        <v>21</v>
      </c>
      <c r="D441" s="81">
        <f t="shared" ca="1" si="18"/>
        <v>21</v>
      </c>
      <c r="E441" s="99">
        <f ca="1">VLOOKUP(B441,'Warehouse Inventory'!$I$2:$L$643,4,FALSE)</f>
        <v>0</v>
      </c>
      <c r="F441" s="108">
        <f ca="1">IFERROR(VLOOKUP(B441,'Warehouse B'!$I$2:$L$148,4,FALSE),"0")</f>
        <v>21</v>
      </c>
    </row>
    <row r="442" spans="1:6">
      <c r="A442" s="56" t="s">
        <v>611</v>
      </c>
      <c r="B442" s="80" t="s">
        <v>226</v>
      </c>
      <c r="C442" s="82">
        <f ca="1">VLOOKUP(B442,PARTS!$G$2:$H$434,2,FALSE)</f>
        <v>52</v>
      </c>
      <c r="D442" s="81">
        <f t="shared" ca="1" si="18"/>
        <v>0</v>
      </c>
      <c r="E442" s="99">
        <f ca="1">VLOOKUP(B442,'Warehouse Inventory'!$I$2:$L$643,4,FALSE)</f>
        <v>0</v>
      </c>
      <c r="F442" s="108" t="str">
        <f>IFERROR(VLOOKUP(B442,'Warehouse B'!$I$2:$L$148,4,FALSE),"0")</f>
        <v>0</v>
      </c>
    </row>
    <row r="443" spans="1:6">
      <c r="A443" s="56" t="s">
        <v>611</v>
      </c>
      <c r="B443" s="80" t="s">
        <v>227</v>
      </c>
      <c r="C443" s="82">
        <f ca="1">VLOOKUP(B443,PARTS!$G$2:$H$434,2,FALSE)</f>
        <v>26</v>
      </c>
      <c r="D443" s="81">
        <f t="shared" ca="1" si="18"/>
        <v>8</v>
      </c>
      <c r="E443" s="99">
        <f ca="1">VLOOKUP(B443,'Warehouse Inventory'!$I$2:$L$643,4,FALSE)</f>
        <v>0</v>
      </c>
      <c r="F443" s="108">
        <f ca="1">IFERROR(VLOOKUP(B443,'Warehouse B'!$I$2:$L$148,4,FALSE),"0")</f>
        <v>8</v>
      </c>
    </row>
    <row r="444" spans="1:6">
      <c r="A444" s="56" t="s">
        <v>611</v>
      </c>
      <c r="B444" s="80" t="s">
        <v>61</v>
      </c>
      <c r="C444" s="82">
        <f ca="1">VLOOKUP(B444,PARTS!$G$2:$H$434,2,FALSE)</f>
        <v>13</v>
      </c>
      <c r="D444" s="81">
        <f t="shared" ca="1" si="18"/>
        <v>9</v>
      </c>
      <c r="E444" s="99">
        <f ca="1">VLOOKUP(B444,'Warehouse Inventory'!$I$2:$L$643,4,FALSE)</f>
        <v>9</v>
      </c>
      <c r="F444" s="108" t="str">
        <f>IFERROR(VLOOKUP(B444,'Warehouse B'!$I$2:$L$148,4,FALSE),"0")</f>
        <v>0</v>
      </c>
    </row>
    <row r="445" spans="1:6">
      <c r="A445" s="62" t="s">
        <v>613</v>
      </c>
      <c r="B445" s="80" t="s">
        <v>228</v>
      </c>
      <c r="C445" s="82">
        <f ca="1">VLOOKUP(B445,PARTS!$G$2:$H$434,2,FALSE)</f>
        <v>47</v>
      </c>
      <c r="D445" s="81">
        <f t="shared" ca="1" si="18"/>
        <v>8</v>
      </c>
      <c r="E445" s="99">
        <f ca="1">VLOOKUP(B445,'Warehouse Inventory'!$I$2:$L$643,4,FALSE)</f>
        <v>8</v>
      </c>
      <c r="F445" s="108" t="str">
        <f>IFERROR(VLOOKUP(B445,'Warehouse B'!$I$2:$L$148,4,FALSE),"0")</f>
        <v>0</v>
      </c>
    </row>
    <row r="446" spans="1:6">
      <c r="A446" s="62" t="s">
        <v>613</v>
      </c>
      <c r="B446" s="80" t="s">
        <v>229</v>
      </c>
      <c r="C446" s="82">
        <f ca="1">VLOOKUP(B446,PARTS!$G$2:$H$434,2,FALSE)</f>
        <v>23</v>
      </c>
      <c r="D446" s="81">
        <f t="shared" ca="1" si="18"/>
        <v>3.5</v>
      </c>
      <c r="E446" s="99">
        <f ca="1">VLOOKUP(B446,'Warehouse Inventory'!$I$2:$L$643,4,FALSE)</f>
        <v>0</v>
      </c>
      <c r="F446" s="108">
        <f ca="1">IFERROR(VLOOKUP(B446,'Warehouse B'!$I$2:$L$148,4,FALSE),"0")</f>
        <v>3.5</v>
      </c>
    </row>
    <row r="447" spans="1:6">
      <c r="A447" s="62" t="s">
        <v>613</v>
      </c>
      <c r="B447" s="80" t="s">
        <v>62</v>
      </c>
      <c r="C447" s="82">
        <f ca="1">VLOOKUP(B447,PARTS!$G$2:$H$434,2,FALSE)</f>
        <v>11</v>
      </c>
      <c r="D447" s="81">
        <f t="shared" ca="1" si="18"/>
        <v>8</v>
      </c>
      <c r="E447" s="99">
        <f ca="1">VLOOKUP(B447,'Warehouse Inventory'!$I$2:$L$643,4,FALSE)</f>
        <v>3</v>
      </c>
      <c r="F447" s="108">
        <f ca="1">IFERROR(VLOOKUP(B447,'Warehouse B'!$I$2:$L$148,4,FALSE),"0")</f>
        <v>5</v>
      </c>
    </row>
    <row r="448" spans="1:6">
      <c r="A448" t="s">
        <v>463</v>
      </c>
      <c r="B448" s="80" t="s">
        <v>463</v>
      </c>
      <c r="C448" s="82">
        <f ca="1">D448</f>
        <v>0</v>
      </c>
      <c r="D448" s="81">
        <f t="shared" ca="1" si="18"/>
        <v>0</v>
      </c>
      <c r="E448" s="99">
        <f ca="1">VLOOKUP(B448,'Warehouse Inventory'!$I$2:$L$643,4,FALSE)</f>
        <v>0</v>
      </c>
      <c r="F448" s="108" t="str">
        <f>IFERROR(VLOOKUP(B448,'Warehouse B'!$I$2:$L$148,4,FALSE),"0")</f>
        <v>0</v>
      </c>
    </row>
    <row r="449" spans="1:6">
      <c r="A449" t="s">
        <v>464</v>
      </c>
      <c r="B449" s="80" t="s">
        <v>464</v>
      </c>
      <c r="C449" s="82">
        <f t="shared" ref="C449:C451" ca="1" si="21">D449</f>
        <v>0</v>
      </c>
      <c r="D449" s="81">
        <f t="shared" ca="1" si="18"/>
        <v>0</v>
      </c>
      <c r="E449" s="99">
        <f ca="1">VLOOKUP(B449,'Warehouse Inventory'!$I$2:$L$643,4,FALSE)</f>
        <v>0</v>
      </c>
      <c r="F449" s="108" t="str">
        <f>IFERROR(VLOOKUP(B449,'Warehouse B'!$I$2:$L$148,4,FALSE),"0")</f>
        <v>0</v>
      </c>
    </row>
    <row r="450" spans="1:6">
      <c r="A450" t="s">
        <v>465</v>
      </c>
      <c r="B450" s="80" t="s">
        <v>465</v>
      </c>
      <c r="C450" s="82">
        <f t="shared" ca="1" si="21"/>
        <v>0</v>
      </c>
      <c r="D450" s="81">
        <f t="shared" ca="1" si="18"/>
        <v>0</v>
      </c>
      <c r="E450" s="99">
        <f ca="1">VLOOKUP(B450,'Warehouse Inventory'!$I$2:$L$643,4,FALSE)</f>
        <v>0</v>
      </c>
      <c r="F450" s="108" t="str">
        <f>IFERROR(VLOOKUP(B450,'Warehouse B'!$I$2:$L$148,4,FALSE),"0")</f>
        <v>0</v>
      </c>
    </row>
    <row r="451" spans="1:6">
      <c r="A451" t="s">
        <v>731</v>
      </c>
      <c r="B451" s="81" t="s">
        <v>731</v>
      </c>
      <c r="C451" s="82">
        <f t="shared" ca="1" si="21"/>
        <v>0</v>
      </c>
      <c r="D451" s="81">
        <f t="shared" ca="1" si="18"/>
        <v>0</v>
      </c>
      <c r="E451" s="99">
        <f ca="1">VLOOKUP(B451,'Warehouse Inventory'!$I$2:$L$643,4,FALSE)</f>
        <v>0</v>
      </c>
      <c r="F451" s="108" t="str">
        <f>IFERROR(VLOOKUP(B451,'Warehouse B'!$I$2:$L$148,4,FALSE),"0")</f>
        <v>0</v>
      </c>
    </row>
    <row r="452" spans="1:6">
      <c r="A452" s="61" t="s">
        <v>668</v>
      </c>
      <c r="B452" s="80" t="s">
        <v>230</v>
      </c>
      <c r="C452" s="82">
        <f ca="1">VLOOKUP(B452,PARTS!$G$2:$H$434,2,FALSE)</f>
        <v>23</v>
      </c>
      <c r="D452" s="81">
        <f t="shared" ca="1" si="18"/>
        <v>9</v>
      </c>
      <c r="E452" s="99">
        <f ca="1">VLOOKUP(B452,'Warehouse Inventory'!$I$2:$L$643,4,FALSE)</f>
        <v>9</v>
      </c>
      <c r="F452" s="108" t="str">
        <f>IFERROR(VLOOKUP(B452,'Warehouse B'!$I$2:$L$148,4,FALSE),"0")</f>
        <v>0</v>
      </c>
    </row>
    <row r="453" spans="1:6">
      <c r="A453" s="61" t="s">
        <v>668</v>
      </c>
      <c r="B453" s="80" t="s">
        <v>231</v>
      </c>
      <c r="C453" s="82">
        <f ca="1">VLOOKUP(B453,PARTS!$G$2:$H$434,2,FALSE)</f>
        <v>11</v>
      </c>
      <c r="D453" s="81">
        <f t="shared" ca="1" si="18"/>
        <v>5</v>
      </c>
      <c r="E453" s="99">
        <f ca="1">VLOOKUP(B453,'Warehouse Inventory'!$I$2:$L$643,4,FALSE)</f>
        <v>5</v>
      </c>
      <c r="F453" s="108" t="str">
        <f>IFERROR(VLOOKUP(B453,'Warehouse B'!$I$2:$L$148,4,FALSE),"0")</f>
        <v>0</v>
      </c>
    </row>
    <row r="454" spans="1:6">
      <c r="A454" s="61" t="s">
        <v>668</v>
      </c>
      <c r="B454" s="80" t="s">
        <v>232</v>
      </c>
      <c r="C454" s="82">
        <f ca="1">VLOOKUP(B454,PARTS!$G$2:$H$434,2,FALSE)</f>
        <v>5</v>
      </c>
      <c r="D454" s="81">
        <f t="shared" ca="1" si="18"/>
        <v>1</v>
      </c>
      <c r="E454" s="99">
        <f ca="1">VLOOKUP(B454,'Warehouse Inventory'!$I$2:$L$643,4,FALSE)</f>
        <v>1</v>
      </c>
      <c r="F454" s="108" t="str">
        <f>IFERROR(VLOOKUP(B454,'Warehouse B'!$I$2:$L$148,4,FALSE),"0")</f>
        <v>0</v>
      </c>
    </row>
    <row r="455" spans="1:6">
      <c r="A455" s="56" t="s">
        <v>669</v>
      </c>
      <c r="B455" s="80" t="s">
        <v>233</v>
      </c>
      <c r="C455" s="82">
        <f ca="1">VLOOKUP(B455,PARTS!$G$2:$H$434,2,FALSE)</f>
        <v>49</v>
      </c>
      <c r="D455" s="81">
        <f t="shared" ca="1" si="18"/>
        <v>17</v>
      </c>
      <c r="E455" s="99">
        <f ca="1">VLOOKUP(B455,'Warehouse Inventory'!$I$2:$L$643,4,FALSE)</f>
        <v>17</v>
      </c>
      <c r="F455" s="108" t="str">
        <f>IFERROR(VLOOKUP(B455,'Warehouse B'!$I$2:$L$148,4,FALSE),"0")</f>
        <v>0</v>
      </c>
    </row>
    <row r="456" spans="1:6">
      <c r="A456" s="56" t="s">
        <v>669</v>
      </c>
      <c r="B456" s="80" t="s">
        <v>234</v>
      </c>
      <c r="C456" s="82">
        <f ca="1">VLOOKUP(B456,PARTS!$G$2:$H$434,2,FALSE)</f>
        <v>24</v>
      </c>
      <c r="D456" s="81">
        <f t="shared" ref="D456:D519" ca="1" si="22">E456+F456</f>
        <v>8</v>
      </c>
      <c r="E456" s="99">
        <f ca="1">VLOOKUP(B456,'Warehouse Inventory'!$I$2:$L$643,4,FALSE)</f>
        <v>8</v>
      </c>
      <c r="F456" s="108" t="str">
        <f>IFERROR(VLOOKUP(B456,'Warehouse B'!$I$2:$L$148,4,FALSE),"0")</f>
        <v>0</v>
      </c>
    </row>
    <row r="457" spans="1:6">
      <c r="A457" s="56" t="s">
        <v>669</v>
      </c>
      <c r="B457" s="80" t="s">
        <v>235</v>
      </c>
      <c r="C457" s="82">
        <f ca="1">VLOOKUP(B457,PARTS!$G$2:$H$434,2,FALSE)</f>
        <v>12</v>
      </c>
      <c r="D457" s="81">
        <f t="shared" ca="1" si="22"/>
        <v>4</v>
      </c>
      <c r="E457" s="99">
        <f ca="1">VLOOKUP(B457,'Warehouse Inventory'!$I$2:$L$643,4,FALSE)</f>
        <v>4</v>
      </c>
      <c r="F457" s="108" t="str">
        <f>IFERROR(VLOOKUP(B457,'Warehouse B'!$I$2:$L$148,4,FALSE),"0")</f>
        <v>0</v>
      </c>
    </row>
    <row r="458" spans="1:6">
      <c r="A458" s="62" t="s">
        <v>670</v>
      </c>
      <c r="B458" s="80" t="s">
        <v>236</v>
      </c>
      <c r="C458" s="82">
        <f ca="1">VLOOKUP(B458,PARTS!$G$2:$H$434,2,FALSE)</f>
        <v>4</v>
      </c>
      <c r="D458" s="81">
        <f t="shared" ca="1" si="22"/>
        <v>1</v>
      </c>
      <c r="E458" s="99">
        <f ca="1">VLOOKUP(B458,'Warehouse Inventory'!$I$2:$L$643,4,FALSE)</f>
        <v>1</v>
      </c>
      <c r="F458" s="108" t="str">
        <f>IFERROR(VLOOKUP(B458,'Warehouse B'!$I$2:$L$148,4,FALSE),"0")</f>
        <v>0</v>
      </c>
    </row>
    <row r="459" spans="1:6">
      <c r="A459" s="62" t="s">
        <v>670</v>
      </c>
      <c r="B459" s="80" t="s">
        <v>237</v>
      </c>
      <c r="C459" s="82">
        <f ca="1">VLOOKUP(B459,PARTS!$G$2:$H$434,2,FALSE)</f>
        <v>2</v>
      </c>
      <c r="D459" s="81">
        <f t="shared" ca="1" si="22"/>
        <v>1.5</v>
      </c>
      <c r="E459" s="99">
        <f ca="1">VLOOKUP(B459,'Warehouse Inventory'!$I$2:$L$643,4,FALSE)</f>
        <v>1.5</v>
      </c>
      <c r="F459" s="108" t="str">
        <f>IFERROR(VLOOKUP(B459,'Warehouse B'!$I$2:$L$148,4,FALSE),"0")</f>
        <v>0</v>
      </c>
    </row>
    <row r="460" spans="1:6">
      <c r="A460" s="56" t="s">
        <v>671</v>
      </c>
      <c r="B460" s="80" t="s">
        <v>238</v>
      </c>
      <c r="C460" s="82">
        <f ca="1">VLOOKUP(B460,PARTS!$G$2:$H$434,2,FALSE)</f>
        <v>5</v>
      </c>
      <c r="D460" s="81">
        <f t="shared" ca="1" si="22"/>
        <v>3</v>
      </c>
      <c r="E460" s="99">
        <f ca="1">VLOOKUP(B460,'Warehouse Inventory'!$I$2:$L$643,4,FALSE)</f>
        <v>3</v>
      </c>
      <c r="F460" s="108" t="str">
        <f>IFERROR(VLOOKUP(B460,'Warehouse B'!$I$2:$L$148,4,FALSE),"0")</f>
        <v>0</v>
      </c>
    </row>
    <row r="461" spans="1:6">
      <c r="A461" s="56" t="s">
        <v>672</v>
      </c>
      <c r="B461" s="80" t="s">
        <v>466</v>
      </c>
      <c r="C461" s="82">
        <f ca="1">VLOOKUP(B461,PARTS!$G$2:$H$434,2,FALSE)</f>
        <v>2</v>
      </c>
      <c r="D461" s="81">
        <f t="shared" ca="1" si="22"/>
        <v>1</v>
      </c>
      <c r="E461" s="99">
        <f ca="1">VLOOKUP(B461,'Warehouse Inventory'!$I$2:$L$643,4,FALSE)</f>
        <v>1</v>
      </c>
      <c r="F461" s="108" t="str">
        <f>IFERROR(VLOOKUP(B461,'Warehouse B'!$I$2:$L$148,4,FALSE),"0")</f>
        <v>0</v>
      </c>
    </row>
    <row r="462" spans="1:6">
      <c r="A462" s="61" t="s">
        <v>673</v>
      </c>
      <c r="B462" s="80" t="s">
        <v>239</v>
      </c>
      <c r="C462" s="82">
        <f ca="1">VLOOKUP(B462,PARTS!$G$2:$H$434,2,FALSE)</f>
        <v>10</v>
      </c>
      <c r="D462" s="81">
        <f t="shared" ca="1" si="22"/>
        <v>10</v>
      </c>
      <c r="E462" s="99">
        <f ca="1">VLOOKUP(B462,'Warehouse Inventory'!$I$2:$L$643,4,FALSE)</f>
        <v>10</v>
      </c>
      <c r="F462" s="108" t="str">
        <f>IFERROR(VLOOKUP(B462,'Warehouse B'!$I$2:$L$148,4,FALSE),"0")</f>
        <v>0</v>
      </c>
    </row>
    <row r="463" spans="1:6">
      <c r="A463" s="61" t="s">
        <v>673</v>
      </c>
      <c r="B463" s="80" t="s">
        <v>240</v>
      </c>
      <c r="C463" s="82">
        <f ca="1">VLOOKUP(B463,PARTS!$G$2:$H$434,2,FALSE)</f>
        <v>5</v>
      </c>
      <c r="D463" s="81">
        <f t="shared" ca="1" si="22"/>
        <v>0</v>
      </c>
      <c r="E463" s="99">
        <f ca="1">VLOOKUP(B463,'Warehouse Inventory'!$I$2:$L$643,4,FALSE)</f>
        <v>0</v>
      </c>
      <c r="F463" s="108" t="str">
        <f>IFERROR(VLOOKUP(B463,'Warehouse B'!$I$2:$L$148,4,FALSE),"0")</f>
        <v>0</v>
      </c>
    </row>
    <row r="464" spans="1:6">
      <c r="A464" s="62" t="s">
        <v>674</v>
      </c>
      <c r="B464" s="80" t="s">
        <v>241</v>
      </c>
      <c r="C464" s="82">
        <f ca="1">VLOOKUP(B464,PARTS!$G$2:$H$434,2,FALSE)</f>
        <v>8</v>
      </c>
      <c r="D464" s="81">
        <f t="shared" ca="1" si="22"/>
        <v>8</v>
      </c>
      <c r="E464" s="99">
        <f ca="1">VLOOKUP(B464,'Warehouse Inventory'!$I$2:$L$643,4,FALSE)</f>
        <v>8</v>
      </c>
      <c r="F464" s="108" t="str">
        <f>IFERROR(VLOOKUP(B464,'Warehouse B'!$I$2:$L$148,4,FALSE),"0")</f>
        <v>0</v>
      </c>
    </row>
    <row r="465" spans="1:6">
      <c r="A465" s="62" t="s">
        <v>675</v>
      </c>
      <c r="B465" s="80" t="s">
        <v>467</v>
      </c>
      <c r="C465" s="82">
        <f ca="1">VLOOKUP(B465,PARTS!$G$2:$H$434,2,FALSE)</f>
        <v>4</v>
      </c>
      <c r="D465" s="81">
        <f t="shared" ca="1" si="22"/>
        <v>0</v>
      </c>
      <c r="E465" s="99">
        <f ca="1">VLOOKUP(B465,'Warehouse Inventory'!$I$2:$L$643,4,FALSE)</f>
        <v>0</v>
      </c>
      <c r="F465" s="108" t="str">
        <f>IFERROR(VLOOKUP(B465,'Warehouse B'!$I$2:$L$148,4,FALSE),"0")</f>
        <v>0</v>
      </c>
    </row>
    <row r="466" spans="1:6">
      <c r="A466" t="s">
        <v>468</v>
      </c>
      <c r="B466" s="80" t="s">
        <v>468</v>
      </c>
      <c r="C466" s="82">
        <f ca="1">D466</f>
        <v>1</v>
      </c>
      <c r="D466" s="81">
        <f t="shared" ca="1" si="22"/>
        <v>1</v>
      </c>
      <c r="E466" s="99">
        <f ca="1">VLOOKUP(B466,'Warehouse Inventory'!$I$2:$L$643,4,FALSE)</f>
        <v>1</v>
      </c>
      <c r="F466" s="108" t="str">
        <f>IFERROR(VLOOKUP(B466,'Warehouse B'!$I$2:$L$148,4,FALSE),"0")</f>
        <v>0</v>
      </c>
    </row>
    <row r="467" spans="1:6">
      <c r="A467" s="34" t="s">
        <v>732</v>
      </c>
      <c r="B467" s="81" t="s">
        <v>732</v>
      </c>
      <c r="C467" s="82">
        <f t="shared" ref="C467:C530" ca="1" si="23">D467</f>
        <v>0</v>
      </c>
      <c r="D467" s="81">
        <f t="shared" ca="1" si="22"/>
        <v>0</v>
      </c>
      <c r="E467" s="99">
        <f ca="1">VLOOKUP(B467,'Warehouse Inventory'!$I$2:$L$643,4,FALSE)</f>
        <v>0</v>
      </c>
      <c r="F467" s="108" t="str">
        <f>IFERROR(VLOOKUP(B467,'Warehouse B'!$I$2:$L$148,4,FALSE),"0")</f>
        <v>0</v>
      </c>
    </row>
    <row r="468" spans="1:6">
      <c r="A468" t="s">
        <v>469</v>
      </c>
      <c r="B468" s="80" t="s">
        <v>469</v>
      </c>
      <c r="C468" s="82">
        <f t="shared" ca="1" si="23"/>
        <v>1</v>
      </c>
      <c r="D468" s="81">
        <f t="shared" ca="1" si="22"/>
        <v>1</v>
      </c>
      <c r="E468" s="99">
        <f ca="1">VLOOKUP(B468,'Warehouse Inventory'!$I$2:$L$643,4,FALSE)</f>
        <v>1</v>
      </c>
      <c r="F468" s="108" t="str">
        <f>IFERROR(VLOOKUP(B468,'Warehouse B'!$I$2:$L$148,4,FALSE),"0")</f>
        <v>0</v>
      </c>
    </row>
    <row r="469" spans="1:6">
      <c r="A469" t="s">
        <v>470</v>
      </c>
      <c r="B469" s="80" t="s">
        <v>470</v>
      </c>
      <c r="C469" s="82">
        <f t="shared" ca="1" si="23"/>
        <v>0</v>
      </c>
      <c r="D469" s="81">
        <f t="shared" ca="1" si="22"/>
        <v>0</v>
      </c>
      <c r="E469" s="99">
        <f ca="1">VLOOKUP(B469,'Warehouse Inventory'!$I$2:$L$643,4,FALSE)</f>
        <v>0</v>
      </c>
      <c r="F469" s="108" t="str">
        <f>IFERROR(VLOOKUP(B469,'Warehouse B'!$I$2:$L$148,4,FALSE),"0")</f>
        <v>0</v>
      </c>
    </row>
    <row r="470" spans="1:6">
      <c r="A470" t="s">
        <v>471</v>
      </c>
      <c r="B470" s="80" t="s">
        <v>471</v>
      </c>
      <c r="C470" s="82">
        <f t="shared" ca="1" si="23"/>
        <v>4</v>
      </c>
      <c r="D470" s="81">
        <f t="shared" ca="1" si="22"/>
        <v>4</v>
      </c>
      <c r="E470" s="99">
        <f ca="1">VLOOKUP(B470,'Warehouse Inventory'!$I$2:$L$643,4,FALSE)</f>
        <v>4</v>
      </c>
      <c r="F470" s="108" t="str">
        <f>IFERROR(VLOOKUP(B470,'Warehouse B'!$I$2:$L$148,4,FALSE),"0")</f>
        <v>0</v>
      </c>
    </row>
    <row r="471" spans="1:6">
      <c r="A471" t="s">
        <v>472</v>
      </c>
      <c r="B471" s="80" t="s">
        <v>472</v>
      </c>
      <c r="C471" s="82">
        <f t="shared" ca="1" si="23"/>
        <v>10</v>
      </c>
      <c r="D471" s="81">
        <f t="shared" ca="1" si="22"/>
        <v>10</v>
      </c>
      <c r="E471" s="99">
        <f ca="1">VLOOKUP(B471,'Warehouse Inventory'!$I$2:$L$643,4,FALSE)</f>
        <v>10</v>
      </c>
      <c r="F471" s="108" t="str">
        <f>IFERROR(VLOOKUP(B471,'Warehouse B'!$I$2:$L$148,4,FALSE),"0")</f>
        <v>0</v>
      </c>
    </row>
    <row r="472" spans="1:6">
      <c r="A472" t="s">
        <v>473</v>
      </c>
      <c r="B472" s="80" t="s">
        <v>473</v>
      </c>
      <c r="C472" s="82">
        <f t="shared" ca="1" si="23"/>
        <v>3</v>
      </c>
      <c r="D472" s="81">
        <f t="shared" ca="1" si="22"/>
        <v>3</v>
      </c>
      <c r="E472" s="99">
        <f ca="1">VLOOKUP(B472,'Warehouse Inventory'!$I$2:$L$643,4,FALSE)</f>
        <v>3</v>
      </c>
      <c r="F472" s="108" t="str">
        <f>IFERROR(VLOOKUP(B472,'Warehouse B'!$I$2:$L$148,4,FALSE),"0")</f>
        <v>0</v>
      </c>
    </row>
    <row r="473" spans="1:6">
      <c r="A473" t="s">
        <v>474</v>
      </c>
      <c r="B473" s="80" t="s">
        <v>474</v>
      </c>
      <c r="C473" s="82">
        <f t="shared" ca="1" si="23"/>
        <v>0</v>
      </c>
      <c r="D473" s="81">
        <f t="shared" ca="1" si="22"/>
        <v>0</v>
      </c>
      <c r="E473" s="99">
        <f ca="1">VLOOKUP(B473,'Warehouse Inventory'!$I$2:$L$643,4,FALSE)</f>
        <v>0</v>
      </c>
      <c r="F473" s="108" t="str">
        <f>IFERROR(VLOOKUP(B473,'Warehouse B'!$I$2:$L$148,4,FALSE),"0")</f>
        <v>0</v>
      </c>
    </row>
    <row r="474" spans="1:6">
      <c r="A474" t="s">
        <v>475</v>
      </c>
      <c r="B474" s="80" t="s">
        <v>475</v>
      </c>
      <c r="C474" s="82">
        <f t="shared" ca="1" si="23"/>
        <v>0</v>
      </c>
      <c r="D474" s="81">
        <f t="shared" ca="1" si="22"/>
        <v>0</v>
      </c>
      <c r="E474" s="99">
        <f ca="1">VLOOKUP(B474,'Warehouse Inventory'!$I$2:$L$643,4,FALSE)</f>
        <v>0</v>
      </c>
      <c r="F474" s="108" t="str">
        <f>IFERROR(VLOOKUP(B474,'Warehouse B'!$I$2:$L$148,4,FALSE),"0")</f>
        <v>0</v>
      </c>
    </row>
    <row r="475" spans="1:6">
      <c r="A475" t="s">
        <v>476</v>
      </c>
      <c r="B475" s="80" t="s">
        <v>476</v>
      </c>
      <c r="C475" s="82">
        <f t="shared" ca="1" si="23"/>
        <v>109</v>
      </c>
      <c r="D475" s="81">
        <f t="shared" ca="1" si="22"/>
        <v>109</v>
      </c>
      <c r="E475" s="99">
        <f ca="1">VLOOKUP(B475,'Warehouse Inventory'!$I$2:$L$643,4,FALSE)</f>
        <v>0</v>
      </c>
      <c r="F475" s="108">
        <f ca="1">IFERROR(VLOOKUP(B475,'Warehouse B'!$I$2:$L$148,4,FALSE),"0")</f>
        <v>109</v>
      </c>
    </row>
    <row r="476" spans="1:6">
      <c r="A476" t="s">
        <v>477</v>
      </c>
      <c r="B476" s="80" t="s">
        <v>477</v>
      </c>
      <c r="C476" s="82">
        <f t="shared" ca="1" si="23"/>
        <v>0</v>
      </c>
      <c r="D476" s="81">
        <f t="shared" ca="1" si="22"/>
        <v>0</v>
      </c>
      <c r="E476" s="99">
        <f ca="1">VLOOKUP(B476,'Warehouse Inventory'!$I$2:$L$643,4,FALSE)</f>
        <v>0</v>
      </c>
      <c r="F476" s="108">
        <f ca="1">IFERROR(VLOOKUP(B476,'Warehouse B'!$I$2:$L$148,4,FALSE),"0")</f>
        <v>0</v>
      </c>
    </row>
    <row r="477" spans="1:6">
      <c r="A477" s="3" t="s">
        <v>707</v>
      </c>
      <c r="B477" s="80" t="s">
        <v>707</v>
      </c>
      <c r="C477" s="82">
        <f t="shared" ca="1" si="23"/>
        <v>0</v>
      </c>
      <c r="D477" s="81">
        <f t="shared" ca="1" si="22"/>
        <v>0</v>
      </c>
      <c r="E477" s="99">
        <f ca="1">VLOOKUP(B477,'Warehouse Inventory'!$I$2:$L$643,4,FALSE)</f>
        <v>0</v>
      </c>
      <c r="F477" s="108" t="str">
        <f>IFERROR(VLOOKUP(B477,'Warehouse B'!$I$2:$L$148,4,FALSE),"0")</f>
        <v>0</v>
      </c>
    </row>
    <row r="478" spans="1:6">
      <c r="A478" t="s">
        <v>676</v>
      </c>
      <c r="B478" s="80" t="s">
        <v>478</v>
      </c>
      <c r="C478" s="82">
        <f t="shared" ca="1" si="23"/>
        <v>0</v>
      </c>
      <c r="D478" s="81">
        <f t="shared" ca="1" si="22"/>
        <v>0</v>
      </c>
      <c r="E478" s="99">
        <f ca="1">VLOOKUP(B478,'Warehouse Inventory'!$I$2:$L$643,4,FALSE)</f>
        <v>0</v>
      </c>
      <c r="F478" s="108" t="str">
        <f>IFERROR(VLOOKUP(B478,'Warehouse B'!$I$2:$L$148,4,FALSE),"0")</f>
        <v>0</v>
      </c>
    </row>
    <row r="479" spans="1:6">
      <c r="A479" t="s">
        <v>719</v>
      </c>
      <c r="B479" s="81" t="s">
        <v>719</v>
      </c>
      <c r="C479" s="82">
        <f t="shared" ca="1" si="23"/>
        <v>0</v>
      </c>
      <c r="D479" s="81">
        <f t="shared" ca="1" si="22"/>
        <v>0</v>
      </c>
      <c r="E479" s="99">
        <f ca="1">VLOOKUP(B479,'Warehouse Inventory'!$I$2:$L$643,4,FALSE)</f>
        <v>0</v>
      </c>
      <c r="F479" s="108" t="str">
        <f>IFERROR(VLOOKUP(B479,'Warehouse B'!$I$2:$L$148,4,FALSE),"0")</f>
        <v>0</v>
      </c>
    </row>
    <row r="480" spans="1:6">
      <c r="A480" t="s">
        <v>242</v>
      </c>
      <c r="B480" s="80" t="s">
        <v>242</v>
      </c>
      <c r="C480" s="82">
        <f t="shared" ca="1" si="23"/>
        <v>0</v>
      </c>
      <c r="D480" s="81">
        <f t="shared" ca="1" si="22"/>
        <v>0</v>
      </c>
      <c r="E480" s="99">
        <f ca="1">VLOOKUP(B480,'Warehouse Inventory'!$I$2:$L$643,4,FALSE)</f>
        <v>0</v>
      </c>
      <c r="F480" s="108" t="str">
        <f>IFERROR(VLOOKUP(B480,'Warehouse B'!$I$2:$L$148,4,FALSE),"0")</f>
        <v>0</v>
      </c>
    </row>
    <row r="481" spans="1:6">
      <c r="A481" t="s">
        <v>720</v>
      </c>
      <c r="B481" s="81" t="s">
        <v>720</v>
      </c>
      <c r="C481" s="82">
        <f t="shared" ca="1" si="23"/>
        <v>0</v>
      </c>
      <c r="D481" s="81">
        <f t="shared" ca="1" si="22"/>
        <v>0</v>
      </c>
      <c r="E481" s="99">
        <f ca="1">VLOOKUP(B481,'Warehouse Inventory'!$I$2:$L$643,4,FALSE)</f>
        <v>0</v>
      </c>
      <c r="F481" s="108" t="str">
        <f>IFERROR(VLOOKUP(B481,'Warehouse B'!$I$2:$L$148,4,FALSE),"0")</f>
        <v>0</v>
      </c>
    </row>
    <row r="482" spans="1:6">
      <c r="A482" t="s">
        <v>721</v>
      </c>
      <c r="B482" s="81" t="s">
        <v>721</v>
      </c>
      <c r="C482" s="82">
        <f t="shared" ca="1" si="23"/>
        <v>0</v>
      </c>
      <c r="D482" s="81">
        <f t="shared" ca="1" si="22"/>
        <v>0</v>
      </c>
      <c r="E482" s="99">
        <f ca="1">VLOOKUP(B482,'Warehouse Inventory'!$I$2:$L$643,4,FALSE)</f>
        <v>0</v>
      </c>
      <c r="F482" s="108" t="str">
        <f>IFERROR(VLOOKUP(B482,'Warehouse B'!$I$2:$L$148,4,FALSE),"0")</f>
        <v>0</v>
      </c>
    </row>
    <row r="483" spans="1:6">
      <c r="A483" t="s">
        <v>722</v>
      </c>
      <c r="B483" s="81" t="s">
        <v>722</v>
      </c>
      <c r="C483" s="82">
        <f t="shared" ca="1" si="23"/>
        <v>0</v>
      </c>
      <c r="D483" s="81">
        <f t="shared" ca="1" si="22"/>
        <v>0</v>
      </c>
      <c r="E483" s="99">
        <f ca="1">VLOOKUP(B483,'Warehouse Inventory'!$I$2:$L$643,4,FALSE)</f>
        <v>0</v>
      </c>
      <c r="F483" s="108" t="str">
        <f>IFERROR(VLOOKUP(B483,'Warehouse B'!$I$2:$L$148,4,FALSE),"0")</f>
        <v>0</v>
      </c>
    </row>
    <row r="484" spans="1:6">
      <c r="A484" t="s">
        <v>733</v>
      </c>
      <c r="B484" s="81" t="s">
        <v>733</v>
      </c>
      <c r="C484" s="82">
        <f t="shared" ca="1" si="23"/>
        <v>0</v>
      </c>
      <c r="D484" s="81">
        <f t="shared" ca="1" si="22"/>
        <v>0</v>
      </c>
      <c r="E484" s="99">
        <f ca="1">VLOOKUP(B484,'Warehouse Inventory'!$I$2:$L$643,4,FALSE)</f>
        <v>0</v>
      </c>
      <c r="F484" s="108" t="str">
        <f>IFERROR(VLOOKUP(B484,'Warehouse B'!$I$2:$L$148,4,FALSE),"0")</f>
        <v>0</v>
      </c>
    </row>
    <row r="485" spans="1:6">
      <c r="A485" t="s">
        <v>479</v>
      </c>
      <c r="B485" s="80" t="s">
        <v>479</v>
      </c>
      <c r="C485" s="82">
        <f t="shared" ca="1" si="23"/>
        <v>0</v>
      </c>
      <c r="D485" s="81">
        <f t="shared" ca="1" si="22"/>
        <v>0</v>
      </c>
      <c r="E485" s="99">
        <f ca="1">VLOOKUP(B485,'Warehouse Inventory'!$I$2:$L$643,4,FALSE)</f>
        <v>0</v>
      </c>
      <c r="F485" s="108" t="str">
        <f>IFERROR(VLOOKUP(B485,'Warehouse B'!$I$2:$L$148,4,FALSE),"0")</f>
        <v>0</v>
      </c>
    </row>
    <row r="486" spans="1:6">
      <c r="A486" t="s">
        <v>480</v>
      </c>
      <c r="B486" s="80" t="s">
        <v>480</v>
      </c>
      <c r="C486" s="82">
        <f t="shared" ca="1" si="23"/>
        <v>0</v>
      </c>
      <c r="D486" s="81">
        <f t="shared" ca="1" si="22"/>
        <v>0</v>
      </c>
      <c r="E486" s="99">
        <f ca="1">VLOOKUP(B486,'Warehouse Inventory'!$I$2:$L$643,4,FALSE)</f>
        <v>0</v>
      </c>
      <c r="F486" s="108" t="str">
        <f>IFERROR(VLOOKUP(B486,'Warehouse B'!$I$2:$L$148,4,FALSE),"0")</f>
        <v>0</v>
      </c>
    </row>
    <row r="487" spans="1:6">
      <c r="A487" t="s">
        <v>481</v>
      </c>
      <c r="B487" s="80" t="s">
        <v>481</v>
      </c>
      <c r="C487" s="82">
        <f t="shared" ca="1" si="23"/>
        <v>0</v>
      </c>
      <c r="D487" s="81">
        <f t="shared" ca="1" si="22"/>
        <v>0</v>
      </c>
      <c r="E487" s="99">
        <f ca="1">VLOOKUP(B487,'Warehouse Inventory'!$I$2:$L$643,4,FALSE)</f>
        <v>0</v>
      </c>
      <c r="F487" s="108" t="str">
        <f>IFERROR(VLOOKUP(B487,'Warehouse B'!$I$2:$L$148,4,FALSE),"0")</f>
        <v>0</v>
      </c>
    </row>
    <row r="488" spans="1:6">
      <c r="A488" t="s">
        <v>243</v>
      </c>
      <c r="B488" s="80" t="s">
        <v>243</v>
      </c>
      <c r="C488" s="82">
        <f t="shared" ca="1" si="23"/>
        <v>10</v>
      </c>
      <c r="D488" s="81">
        <f t="shared" ca="1" si="22"/>
        <v>10</v>
      </c>
      <c r="E488" s="99">
        <f ca="1">VLOOKUP(B488,'Warehouse Inventory'!$I$2:$L$643,4,FALSE)</f>
        <v>10</v>
      </c>
      <c r="F488" s="108" t="str">
        <f>IFERROR(VLOOKUP(B488,'Warehouse B'!$I$2:$L$148,4,FALSE),"0")</f>
        <v>0</v>
      </c>
    </row>
    <row r="489" spans="1:6">
      <c r="A489" t="s">
        <v>482</v>
      </c>
      <c r="B489" s="80" t="s">
        <v>482</v>
      </c>
      <c r="C489" s="82">
        <f t="shared" ca="1" si="23"/>
        <v>0</v>
      </c>
      <c r="D489" s="81">
        <f t="shared" ca="1" si="22"/>
        <v>0</v>
      </c>
      <c r="E489" s="99">
        <f ca="1">VLOOKUP(B489,'Warehouse Inventory'!$I$2:$L$643,4,FALSE)</f>
        <v>0</v>
      </c>
      <c r="F489" s="108" t="str">
        <f>IFERROR(VLOOKUP(B489,'Warehouse B'!$I$2:$L$148,4,FALSE),"0")</f>
        <v>0</v>
      </c>
    </row>
    <row r="490" spans="1:6">
      <c r="A490" t="s">
        <v>244</v>
      </c>
      <c r="B490" s="80" t="s">
        <v>244</v>
      </c>
      <c r="C490" s="82">
        <f t="shared" ca="1" si="23"/>
        <v>0</v>
      </c>
      <c r="D490" s="81">
        <f t="shared" ca="1" si="22"/>
        <v>0</v>
      </c>
      <c r="E490" s="99">
        <f ca="1">VLOOKUP(B490,'Warehouse Inventory'!$I$2:$L$643,4,FALSE)</f>
        <v>0</v>
      </c>
      <c r="F490" s="108" t="str">
        <f>IFERROR(VLOOKUP(B490,'Warehouse B'!$I$2:$L$148,4,FALSE),"0")</f>
        <v>0</v>
      </c>
    </row>
    <row r="491" spans="1:6">
      <c r="A491" t="s">
        <v>245</v>
      </c>
      <c r="B491" s="80" t="s">
        <v>245</v>
      </c>
      <c r="C491" s="82">
        <f t="shared" ca="1" si="23"/>
        <v>3</v>
      </c>
      <c r="D491" s="81">
        <f t="shared" ca="1" si="22"/>
        <v>3</v>
      </c>
      <c r="E491" s="99">
        <f ca="1">VLOOKUP(B491,'Warehouse Inventory'!$I$2:$L$643,4,FALSE)</f>
        <v>3</v>
      </c>
      <c r="F491" s="108" t="str">
        <f>IFERROR(VLOOKUP(B491,'Warehouse B'!$I$2:$L$148,4,FALSE),"0")</f>
        <v>0</v>
      </c>
    </row>
    <row r="492" spans="1:6">
      <c r="A492" t="s">
        <v>483</v>
      </c>
      <c r="B492" s="80" t="s">
        <v>483</v>
      </c>
      <c r="C492" s="82">
        <f t="shared" ca="1" si="23"/>
        <v>0</v>
      </c>
      <c r="D492" s="81">
        <f t="shared" ca="1" si="22"/>
        <v>0</v>
      </c>
      <c r="E492" s="99">
        <f ca="1">VLOOKUP(B492,'Warehouse Inventory'!$I$2:$L$643,4,FALSE)</f>
        <v>0</v>
      </c>
      <c r="F492" s="108" t="str">
        <f>IFERROR(VLOOKUP(B492,'Warehouse B'!$I$2:$L$148,4,FALSE),"0")</f>
        <v>0</v>
      </c>
    </row>
    <row r="493" spans="1:6">
      <c r="A493" t="s">
        <v>246</v>
      </c>
      <c r="B493" s="80" t="s">
        <v>246</v>
      </c>
      <c r="C493" s="82">
        <f t="shared" ca="1" si="23"/>
        <v>0</v>
      </c>
      <c r="D493" s="81">
        <f t="shared" ca="1" si="22"/>
        <v>0</v>
      </c>
      <c r="E493" s="99">
        <f ca="1">VLOOKUP(B493,'Warehouse Inventory'!$I$2:$L$643,4,FALSE)</f>
        <v>0</v>
      </c>
      <c r="F493" s="108" t="str">
        <f>IFERROR(VLOOKUP(B493,'Warehouse B'!$I$2:$L$148,4,FALSE),"0")</f>
        <v>0</v>
      </c>
    </row>
    <row r="494" spans="1:6">
      <c r="A494" t="s">
        <v>247</v>
      </c>
      <c r="B494" s="80" t="s">
        <v>247</v>
      </c>
      <c r="C494" s="82">
        <f t="shared" ca="1" si="23"/>
        <v>2</v>
      </c>
      <c r="D494" s="81">
        <f t="shared" ca="1" si="22"/>
        <v>2</v>
      </c>
      <c r="E494" s="99">
        <f ca="1">VLOOKUP(B494,'Warehouse Inventory'!$I$2:$L$643,4,FALSE)</f>
        <v>2</v>
      </c>
      <c r="F494" s="108" t="str">
        <f>IFERROR(VLOOKUP(B494,'Warehouse B'!$I$2:$L$148,4,FALSE),"0")</f>
        <v>0</v>
      </c>
    </row>
    <row r="495" spans="1:6">
      <c r="A495" t="s">
        <v>484</v>
      </c>
      <c r="B495" s="80" t="s">
        <v>484</v>
      </c>
      <c r="C495" s="82">
        <f t="shared" ca="1" si="23"/>
        <v>0</v>
      </c>
      <c r="D495" s="81">
        <f t="shared" ca="1" si="22"/>
        <v>0</v>
      </c>
      <c r="E495" s="99">
        <f ca="1">VLOOKUP(B495,'Warehouse Inventory'!$I$2:$L$643,4,FALSE)</f>
        <v>0</v>
      </c>
      <c r="F495" s="108" t="str">
        <f>IFERROR(VLOOKUP(B495,'Warehouse B'!$I$2:$L$148,4,FALSE),"0")</f>
        <v>0</v>
      </c>
    </row>
    <row r="496" spans="1:6">
      <c r="A496" t="s">
        <v>248</v>
      </c>
      <c r="B496" s="80" t="s">
        <v>248</v>
      </c>
      <c r="C496" s="82">
        <f t="shared" ca="1" si="23"/>
        <v>0</v>
      </c>
      <c r="D496" s="81">
        <f t="shared" ca="1" si="22"/>
        <v>0</v>
      </c>
      <c r="E496" s="99">
        <f ca="1">VLOOKUP(B496,'Warehouse Inventory'!$I$2:$L$643,4,FALSE)</f>
        <v>0</v>
      </c>
      <c r="F496" s="108" t="str">
        <f>IFERROR(VLOOKUP(B496,'Warehouse B'!$I$2:$L$148,4,FALSE),"0")</f>
        <v>0</v>
      </c>
    </row>
    <row r="497" spans="1:6">
      <c r="A497" t="s">
        <v>249</v>
      </c>
      <c r="B497" s="80" t="s">
        <v>249</v>
      </c>
      <c r="C497" s="82">
        <f t="shared" ca="1" si="23"/>
        <v>0</v>
      </c>
      <c r="D497" s="81">
        <f t="shared" ca="1" si="22"/>
        <v>0</v>
      </c>
      <c r="E497" s="99">
        <f ca="1">VLOOKUP(B497,'Warehouse Inventory'!$I$2:$L$643,4,FALSE)</f>
        <v>0</v>
      </c>
      <c r="F497" s="108" t="str">
        <f>IFERROR(VLOOKUP(B497,'Warehouse B'!$I$2:$L$148,4,FALSE),"0")</f>
        <v>0</v>
      </c>
    </row>
    <row r="498" spans="1:6">
      <c r="A498" t="s">
        <v>250</v>
      </c>
      <c r="B498" s="80" t="s">
        <v>250</v>
      </c>
      <c r="C498" s="82">
        <f t="shared" ca="1" si="23"/>
        <v>0</v>
      </c>
      <c r="D498" s="81">
        <f t="shared" ca="1" si="22"/>
        <v>0</v>
      </c>
      <c r="E498" s="99">
        <f ca="1">VLOOKUP(B498,'Warehouse Inventory'!$I$2:$L$643,4,FALSE)</f>
        <v>0</v>
      </c>
      <c r="F498" s="108" t="str">
        <f>IFERROR(VLOOKUP(B498,'Warehouse B'!$I$2:$L$148,4,FALSE),"0")</f>
        <v>0</v>
      </c>
    </row>
    <row r="499" spans="1:6">
      <c r="A499" t="s">
        <v>251</v>
      </c>
      <c r="B499" s="80" t="s">
        <v>251</v>
      </c>
      <c r="C499" s="82">
        <f t="shared" ca="1" si="23"/>
        <v>0</v>
      </c>
      <c r="D499" s="81">
        <f t="shared" ca="1" si="22"/>
        <v>0</v>
      </c>
      <c r="E499" s="99">
        <f ca="1">VLOOKUP(B499,'Warehouse Inventory'!$I$2:$L$643,4,FALSE)</f>
        <v>0</v>
      </c>
      <c r="F499" s="108" t="str">
        <f>IFERROR(VLOOKUP(B499,'Warehouse B'!$I$2:$L$148,4,FALSE),"0")</f>
        <v>0</v>
      </c>
    </row>
    <row r="500" spans="1:6">
      <c r="A500" t="s">
        <v>252</v>
      </c>
      <c r="B500" s="80" t="s">
        <v>252</v>
      </c>
      <c r="C500" s="82">
        <f t="shared" ca="1" si="23"/>
        <v>0</v>
      </c>
      <c r="D500" s="81">
        <f t="shared" ca="1" si="22"/>
        <v>0</v>
      </c>
      <c r="E500" s="99">
        <f ca="1">VLOOKUP(B500,'Warehouse Inventory'!$I$2:$L$643,4,FALSE)</f>
        <v>0</v>
      </c>
      <c r="F500" s="108" t="str">
        <f>IFERROR(VLOOKUP(B500,'Warehouse B'!$I$2:$L$148,4,FALSE),"0")</f>
        <v>0</v>
      </c>
    </row>
    <row r="501" spans="1:6">
      <c r="A501" t="s">
        <v>485</v>
      </c>
      <c r="B501" s="80" t="s">
        <v>485</v>
      </c>
      <c r="C501" s="82">
        <f t="shared" ca="1" si="23"/>
        <v>0</v>
      </c>
      <c r="D501" s="81">
        <f t="shared" ca="1" si="22"/>
        <v>0</v>
      </c>
      <c r="E501" s="99">
        <f ca="1">VLOOKUP(B501,'Warehouse Inventory'!$I$2:$L$643,4,FALSE)</f>
        <v>0</v>
      </c>
      <c r="F501" s="108" t="str">
        <f>IFERROR(VLOOKUP(B501,'Warehouse B'!$I$2:$L$148,4,FALSE),"0")</f>
        <v>0</v>
      </c>
    </row>
    <row r="502" spans="1:6">
      <c r="A502" t="s">
        <v>28</v>
      </c>
      <c r="B502" s="80" t="s">
        <v>28</v>
      </c>
      <c r="C502" s="82">
        <f t="shared" ca="1" si="23"/>
        <v>1</v>
      </c>
      <c r="D502" s="81">
        <f t="shared" ca="1" si="22"/>
        <v>1</v>
      </c>
      <c r="E502" s="99">
        <f ca="1">VLOOKUP(B502,'Warehouse Inventory'!$I$2:$L$643,4,FALSE)</f>
        <v>1</v>
      </c>
      <c r="F502" s="108" t="str">
        <f>IFERROR(VLOOKUP(B502,'Warehouse B'!$I$2:$L$148,4,FALSE),"0")</f>
        <v>0</v>
      </c>
    </row>
    <row r="503" spans="1:6">
      <c r="A503" t="s">
        <v>253</v>
      </c>
      <c r="B503" s="80" t="s">
        <v>253</v>
      </c>
      <c r="C503" s="82">
        <f t="shared" ca="1" si="23"/>
        <v>0</v>
      </c>
      <c r="D503" s="81">
        <f t="shared" ca="1" si="22"/>
        <v>0</v>
      </c>
      <c r="E503" s="99">
        <f ca="1">VLOOKUP(B503,'Warehouse Inventory'!$I$2:$L$643,4,FALSE)</f>
        <v>0</v>
      </c>
      <c r="F503" s="108" t="str">
        <f>IFERROR(VLOOKUP(B503,'Warehouse B'!$I$2:$L$148,4,FALSE),"0")</f>
        <v>0</v>
      </c>
    </row>
    <row r="504" spans="1:6">
      <c r="A504" t="s">
        <v>254</v>
      </c>
      <c r="B504" s="80" t="s">
        <v>254</v>
      </c>
      <c r="C504" s="82">
        <f t="shared" ca="1" si="23"/>
        <v>0</v>
      </c>
      <c r="D504" s="81">
        <f t="shared" ca="1" si="22"/>
        <v>0</v>
      </c>
      <c r="E504" s="99">
        <f ca="1">VLOOKUP(B504,'Warehouse Inventory'!$I$2:$L$643,4,FALSE)</f>
        <v>0</v>
      </c>
      <c r="F504" s="108" t="str">
        <f>IFERROR(VLOOKUP(B504,'Warehouse B'!$I$2:$L$148,4,FALSE),"0")</f>
        <v>0</v>
      </c>
    </row>
    <row r="505" spans="1:6">
      <c r="A505" t="s">
        <v>255</v>
      </c>
      <c r="B505" s="80" t="s">
        <v>255</v>
      </c>
      <c r="C505" s="82">
        <f t="shared" ca="1" si="23"/>
        <v>0</v>
      </c>
      <c r="D505" s="81">
        <f t="shared" ca="1" si="22"/>
        <v>0</v>
      </c>
      <c r="E505" s="99">
        <f ca="1">VLOOKUP(B505,'Warehouse Inventory'!$I$2:$L$643,4,FALSE)</f>
        <v>0</v>
      </c>
      <c r="F505" s="108" t="str">
        <f>IFERROR(VLOOKUP(B505,'Warehouse B'!$I$2:$L$148,4,FALSE),"0")</f>
        <v>0</v>
      </c>
    </row>
    <row r="506" spans="1:6">
      <c r="A506" t="s">
        <v>486</v>
      </c>
      <c r="B506" s="80" t="s">
        <v>486</v>
      </c>
      <c r="C506" s="82">
        <f t="shared" ca="1" si="23"/>
        <v>0</v>
      </c>
      <c r="D506" s="81">
        <f t="shared" ca="1" si="22"/>
        <v>0</v>
      </c>
      <c r="E506" s="99">
        <f ca="1">VLOOKUP(B506,'Warehouse Inventory'!$I$2:$L$643,4,FALSE)</f>
        <v>0</v>
      </c>
      <c r="F506" s="108" t="str">
        <f>IFERROR(VLOOKUP(B506,'Warehouse B'!$I$2:$L$148,4,FALSE),"0")</f>
        <v>0</v>
      </c>
    </row>
    <row r="507" spans="1:6">
      <c r="A507" t="s">
        <v>29</v>
      </c>
      <c r="B507" s="80" t="s">
        <v>29</v>
      </c>
      <c r="C507" s="82">
        <f t="shared" ca="1" si="23"/>
        <v>0</v>
      </c>
      <c r="D507" s="81">
        <f t="shared" ca="1" si="22"/>
        <v>0</v>
      </c>
      <c r="E507" s="99">
        <f ca="1">VLOOKUP(B507,'Warehouse Inventory'!$I$2:$L$643,4,FALSE)</f>
        <v>0</v>
      </c>
      <c r="F507" s="108" t="str">
        <f>IFERROR(VLOOKUP(B507,'Warehouse B'!$I$2:$L$148,4,FALSE),"0")</f>
        <v>0</v>
      </c>
    </row>
    <row r="508" spans="1:6">
      <c r="A508" t="s">
        <v>256</v>
      </c>
      <c r="B508" s="80" t="s">
        <v>256</v>
      </c>
      <c r="C508" s="82">
        <f t="shared" ca="1" si="23"/>
        <v>3</v>
      </c>
      <c r="D508" s="81">
        <f t="shared" ca="1" si="22"/>
        <v>3</v>
      </c>
      <c r="E508" s="99">
        <f ca="1">VLOOKUP(B508,'Warehouse Inventory'!$I$2:$L$643,4,FALSE)</f>
        <v>3</v>
      </c>
      <c r="F508" s="108" t="str">
        <f>IFERROR(VLOOKUP(B508,'Warehouse B'!$I$2:$L$148,4,FALSE),"0")</f>
        <v>0</v>
      </c>
    </row>
    <row r="509" spans="1:6">
      <c r="A509" t="s">
        <v>487</v>
      </c>
      <c r="B509" s="80" t="s">
        <v>487</v>
      </c>
      <c r="C509" s="82">
        <f t="shared" ca="1" si="23"/>
        <v>0</v>
      </c>
      <c r="D509" s="81">
        <f t="shared" ca="1" si="22"/>
        <v>0</v>
      </c>
      <c r="E509" s="99">
        <f ca="1">VLOOKUP(B509,'Warehouse Inventory'!$I$2:$L$643,4,FALSE)</f>
        <v>0</v>
      </c>
      <c r="F509" s="108" t="str">
        <f>IFERROR(VLOOKUP(B509,'Warehouse B'!$I$2:$L$148,4,FALSE),"0")</f>
        <v>0</v>
      </c>
    </row>
    <row r="510" spans="1:6">
      <c r="A510" t="s">
        <v>488</v>
      </c>
      <c r="B510" s="80" t="s">
        <v>488</v>
      </c>
      <c r="C510" s="82">
        <f t="shared" ca="1" si="23"/>
        <v>0</v>
      </c>
      <c r="D510" s="81">
        <f t="shared" ca="1" si="22"/>
        <v>0</v>
      </c>
      <c r="E510" s="99">
        <f ca="1">VLOOKUP(B510,'Warehouse Inventory'!$I$2:$L$643,4,FALSE)</f>
        <v>0</v>
      </c>
      <c r="F510" s="108" t="str">
        <f>IFERROR(VLOOKUP(B510,'Warehouse B'!$I$2:$L$148,4,FALSE),"0")</f>
        <v>0</v>
      </c>
    </row>
    <row r="511" spans="1:6">
      <c r="A511" t="s">
        <v>489</v>
      </c>
      <c r="B511" s="80" t="s">
        <v>489</v>
      </c>
      <c r="C511" s="82">
        <f t="shared" ca="1" si="23"/>
        <v>0</v>
      </c>
      <c r="D511" s="81">
        <f t="shared" ca="1" si="22"/>
        <v>0</v>
      </c>
      <c r="E511" s="99">
        <f ca="1">VLOOKUP(B511,'Warehouse Inventory'!$I$2:$L$643,4,FALSE)</f>
        <v>0</v>
      </c>
      <c r="F511" s="108" t="str">
        <f>IFERROR(VLOOKUP(B511,'Warehouse B'!$I$2:$L$148,4,FALSE),"0")</f>
        <v>0</v>
      </c>
    </row>
    <row r="512" spans="1:6">
      <c r="A512" t="s">
        <v>257</v>
      </c>
      <c r="B512" s="80" t="s">
        <v>257</v>
      </c>
      <c r="C512" s="82">
        <f t="shared" ca="1" si="23"/>
        <v>0</v>
      </c>
      <c r="D512" s="81">
        <f t="shared" ca="1" si="22"/>
        <v>0</v>
      </c>
      <c r="E512" s="99">
        <f ca="1">VLOOKUP(B512,'Warehouse Inventory'!$I$2:$L$643,4,FALSE)</f>
        <v>0</v>
      </c>
      <c r="F512" s="108" t="str">
        <f>IFERROR(VLOOKUP(B512,'Warehouse B'!$I$2:$L$148,4,FALSE),"0")</f>
        <v>0</v>
      </c>
    </row>
    <row r="513" spans="1:6">
      <c r="A513" t="s">
        <v>490</v>
      </c>
      <c r="B513" s="80" t="s">
        <v>490</v>
      </c>
      <c r="C513" s="82">
        <f t="shared" ca="1" si="23"/>
        <v>0</v>
      </c>
      <c r="D513" s="81">
        <f t="shared" ca="1" si="22"/>
        <v>0</v>
      </c>
      <c r="E513" s="99">
        <f ca="1">VLOOKUP(B513,'Warehouse Inventory'!$I$2:$L$643,4,FALSE)</f>
        <v>0</v>
      </c>
      <c r="F513" s="108" t="str">
        <f>IFERROR(VLOOKUP(B513,'Warehouse B'!$I$2:$L$148,4,FALSE),"0")</f>
        <v>0</v>
      </c>
    </row>
    <row r="514" spans="1:6">
      <c r="A514" t="s">
        <v>491</v>
      </c>
      <c r="B514" s="80" t="s">
        <v>491</v>
      </c>
      <c r="C514" s="82">
        <f t="shared" ca="1" si="23"/>
        <v>5</v>
      </c>
      <c r="D514" s="81">
        <f t="shared" ca="1" si="22"/>
        <v>5</v>
      </c>
      <c r="E514" s="99">
        <f ca="1">VLOOKUP(B514,'Warehouse Inventory'!$I$2:$L$643,4,FALSE)</f>
        <v>5</v>
      </c>
      <c r="F514" s="108" t="str">
        <f>IFERROR(VLOOKUP(B514,'Warehouse B'!$I$2:$L$148,4,FALSE),"0")</f>
        <v>0</v>
      </c>
    </row>
    <row r="515" spans="1:6">
      <c r="A515" t="s">
        <v>492</v>
      </c>
      <c r="B515" s="80" t="s">
        <v>492</v>
      </c>
      <c r="C515" s="82">
        <f t="shared" ca="1" si="23"/>
        <v>1</v>
      </c>
      <c r="D515" s="81">
        <f t="shared" ca="1" si="22"/>
        <v>1</v>
      </c>
      <c r="E515" s="99">
        <f ca="1">VLOOKUP(B515,'Warehouse Inventory'!$I$2:$L$643,4,FALSE)</f>
        <v>1</v>
      </c>
      <c r="F515" s="108" t="str">
        <f>IFERROR(VLOOKUP(B515,'Warehouse B'!$I$2:$L$148,4,FALSE),"0")</f>
        <v>0</v>
      </c>
    </row>
    <row r="516" spans="1:6">
      <c r="A516" t="s">
        <v>705</v>
      </c>
      <c r="B516" s="80" t="s">
        <v>705</v>
      </c>
      <c r="C516" s="82">
        <f t="shared" ca="1" si="23"/>
        <v>2</v>
      </c>
      <c r="D516" s="81">
        <f t="shared" ca="1" si="22"/>
        <v>2</v>
      </c>
      <c r="E516" s="99">
        <f ca="1">VLOOKUP(B516,'Warehouse Inventory'!$I$2:$L$643,4,FALSE)</f>
        <v>2</v>
      </c>
      <c r="F516" s="108" t="str">
        <f>IFERROR(VLOOKUP(B516,'Warehouse B'!$I$2:$L$148,4,FALSE),"0")</f>
        <v>0</v>
      </c>
    </row>
    <row r="517" spans="1:6">
      <c r="A517" t="s">
        <v>493</v>
      </c>
      <c r="B517" s="80" t="s">
        <v>493</v>
      </c>
      <c r="C517" s="82">
        <f t="shared" ca="1" si="23"/>
        <v>2</v>
      </c>
      <c r="D517" s="81">
        <f t="shared" ca="1" si="22"/>
        <v>2</v>
      </c>
      <c r="E517" s="99">
        <f ca="1">VLOOKUP(B517,'Warehouse Inventory'!$I$2:$L$643,4,FALSE)</f>
        <v>2</v>
      </c>
      <c r="F517" s="108" t="str">
        <f>IFERROR(VLOOKUP(B517,'Warehouse B'!$I$2:$L$148,4,FALSE),"0")</f>
        <v>0</v>
      </c>
    </row>
    <row r="518" spans="1:6">
      <c r="A518" t="s">
        <v>258</v>
      </c>
      <c r="B518" s="80" t="s">
        <v>258</v>
      </c>
      <c r="C518" s="82">
        <f t="shared" ca="1" si="23"/>
        <v>38</v>
      </c>
      <c r="D518" s="81">
        <f t="shared" ca="1" si="22"/>
        <v>38</v>
      </c>
      <c r="E518" s="99">
        <f ca="1">VLOOKUP(B518,'Warehouse Inventory'!$I$2:$L$643,4,FALSE)</f>
        <v>38</v>
      </c>
      <c r="F518" s="108" t="str">
        <f>IFERROR(VLOOKUP(B518,'Warehouse B'!$I$2:$L$148,4,FALSE),"0")</f>
        <v>0</v>
      </c>
    </row>
    <row r="519" spans="1:6">
      <c r="A519" t="s">
        <v>259</v>
      </c>
      <c r="B519" s="80" t="s">
        <v>259</v>
      </c>
      <c r="C519" s="82">
        <f t="shared" ca="1" si="23"/>
        <v>45</v>
      </c>
      <c r="D519" s="81">
        <f t="shared" ca="1" si="22"/>
        <v>45</v>
      </c>
      <c r="E519" s="99">
        <f ca="1">VLOOKUP(B519,'Warehouse Inventory'!$I$2:$L$643,4,FALSE)</f>
        <v>45</v>
      </c>
      <c r="F519" s="108" t="str">
        <f>IFERROR(VLOOKUP(B519,'Warehouse B'!$I$2:$L$148,4,FALSE),"0")</f>
        <v>0</v>
      </c>
    </row>
    <row r="520" spans="1:6">
      <c r="A520" t="s">
        <v>494</v>
      </c>
      <c r="B520" s="80" t="s">
        <v>494</v>
      </c>
      <c r="C520" s="82">
        <f t="shared" ca="1" si="23"/>
        <v>4</v>
      </c>
      <c r="D520" s="81">
        <f t="shared" ref="D520:D583" ca="1" si="24">E520+F520</f>
        <v>4</v>
      </c>
      <c r="E520" s="99">
        <f ca="1">VLOOKUP(B520,'Warehouse Inventory'!$I$2:$L$643,4,FALSE)</f>
        <v>4</v>
      </c>
      <c r="F520" s="108" t="str">
        <f>IFERROR(VLOOKUP(B520,'Warehouse B'!$I$2:$L$148,4,FALSE),"0")</f>
        <v>0</v>
      </c>
    </row>
    <row r="521" spans="1:6">
      <c r="A521" t="s">
        <v>495</v>
      </c>
      <c r="B521" s="80" t="s">
        <v>495</v>
      </c>
      <c r="C521" s="82">
        <f t="shared" ca="1" si="23"/>
        <v>4</v>
      </c>
      <c r="D521" s="81">
        <f t="shared" ca="1" si="24"/>
        <v>4</v>
      </c>
      <c r="E521" s="99">
        <f ca="1">VLOOKUP(B521,'Warehouse Inventory'!$I$2:$L$643,4,FALSE)</f>
        <v>4</v>
      </c>
      <c r="F521" s="108" t="str">
        <f>IFERROR(VLOOKUP(B521,'Warehouse B'!$I$2:$L$148,4,FALSE),"0")</f>
        <v>0</v>
      </c>
    </row>
    <row r="522" spans="1:6">
      <c r="A522" t="s">
        <v>260</v>
      </c>
      <c r="B522" s="80" t="s">
        <v>260</v>
      </c>
      <c r="C522" s="82">
        <f t="shared" ca="1" si="23"/>
        <v>5</v>
      </c>
      <c r="D522" s="81">
        <f t="shared" ca="1" si="24"/>
        <v>5</v>
      </c>
      <c r="E522" s="99">
        <f ca="1">VLOOKUP(B522,'Warehouse Inventory'!$I$2:$L$643,4,FALSE)</f>
        <v>5</v>
      </c>
      <c r="F522" s="108" t="str">
        <f>IFERROR(VLOOKUP(B522,'Warehouse B'!$I$2:$L$148,4,FALSE),"0")</f>
        <v>0</v>
      </c>
    </row>
    <row r="523" spans="1:6">
      <c r="A523" t="s">
        <v>496</v>
      </c>
      <c r="B523" s="80" t="s">
        <v>496</v>
      </c>
      <c r="C523" s="82">
        <f t="shared" ca="1" si="23"/>
        <v>2</v>
      </c>
      <c r="D523" s="81">
        <f t="shared" ca="1" si="24"/>
        <v>2</v>
      </c>
      <c r="E523" s="99">
        <f ca="1">VLOOKUP(B523,'Warehouse Inventory'!$I$2:$L$643,4,FALSE)</f>
        <v>2</v>
      </c>
      <c r="F523" s="108" t="str">
        <f>IFERROR(VLOOKUP(B523,'Warehouse B'!$I$2:$L$148,4,FALSE),"0")</f>
        <v>0</v>
      </c>
    </row>
    <row r="524" spans="1:6">
      <c r="A524" t="s">
        <v>497</v>
      </c>
      <c r="B524" s="80" t="s">
        <v>497</v>
      </c>
      <c r="C524" s="82">
        <f t="shared" ca="1" si="23"/>
        <v>3</v>
      </c>
      <c r="D524" s="81">
        <f t="shared" ca="1" si="24"/>
        <v>3</v>
      </c>
      <c r="E524" s="99">
        <f ca="1">VLOOKUP(B524,'Warehouse Inventory'!$I$2:$L$643,4,FALSE)</f>
        <v>3</v>
      </c>
      <c r="F524" s="108" t="str">
        <f>IFERROR(VLOOKUP(B524,'Warehouse B'!$I$2:$L$148,4,FALSE),"0")</f>
        <v>0</v>
      </c>
    </row>
    <row r="525" spans="1:6">
      <c r="A525" t="s">
        <v>498</v>
      </c>
      <c r="B525" s="80" t="s">
        <v>498</v>
      </c>
      <c r="C525" s="82">
        <f t="shared" ca="1" si="23"/>
        <v>5</v>
      </c>
      <c r="D525" s="81">
        <f t="shared" ca="1" si="24"/>
        <v>5</v>
      </c>
      <c r="E525" s="99">
        <f ca="1">VLOOKUP(B525,'Warehouse Inventory'!$I$2:$L$643,4,FALSE)</f>
        <v>5</v>
      </c>
      <c r="F525" s="108" t="str">
        <f>IFERROR(VLOOKUP(B525,'Warehouse B'!$I$2:$L$148,4,FALSE),"0")</f>
        <v>0</v>
      </c>
    </row>
    <row r="526" spans="1:6">
      <c r="A526" t="s">
        <v>499</v>
      </c>
      <c r="B526" s="80" t="s">
        <v>499</v>
      </c>
      <c r="C526" s="82">
        <f t="shared" ca="1" si="23"/>
        <v>1</v>
      </c>
      <c r="D526" s="81">
        <f t="shared" ca="1" si="24"/>
        <v>1</v>
      </c>
      <c r="E526" s="99">
        <f ca="1">VLOOKUP(B526,'Warehouse Inventory'!$I$2:$L$643,4,FALSE)</f>
        <v>1</v>
      </c>
      <c r="F526" s="108" t="str">
        <f>IFERROR(VLOOKUP(B526,'Warehouse B'!$I$2:$L$148,4,FALSE),"0")</f>
        <v>0</v>
      </c>
    </row>
    <row r="527" spans="1:6">
      <c r="A527" t="s">
        <v>500</v>
      </c>
      <c r="B527" s="80" t="s">
        <v>500</v>
      </c>
      <c r="C527" s="82">
        <f t="shared" ca="1" si="23"/>
        <v>0</v>
      </c>
      <c r="D527" s="81">
        <f t="shared" ca="1" si="24"/>
        <v>0</v>
      </c>
      <c r="E527" s="99">
        <f ca="1">VLOOKUP(B527,'Warehouse Inventory'!$I$2:$L$643,4,FALSE)</f>
        <v>0</v>
      </c>
      <c r="F527" s="108" t="str">
        <f>IFERROR(VLOOKUP(B527,'Warehouse B'!$I$2:$L$148,4,FALSE),"0")</f>
        <v>0</v>
      </c>
    </row>
    <row r="528" spans="1:6">
      <c r="A528" t="s">
        <v>261</v>
      </c>
      <c r="B528" s="80" t="s">
        <v>261</v>
      </c>
      <c r="C528" s="82">
        <f t="shared" ca="1" si="23"/>
        <v>0</v>
      </c>
      <c r="D528" s="81">
        <f t="shared" ca="1" si="24"/>
        <v>0</v>
      </c>
      <c r="E528" s="99">
        <f ca="1">VLOOKUP(B528,'Warehouse Inventory'!$I$2:$L$643,4,FALSE)</f>
        <v>0</v>
      </c>
      <c r="F528" s="108" t="str">
        <f>IFERROR(VLOOKUP(B528,'Warehouse B'!$I$2:$L$148,4,FALSE),"0")</f>
        <v>0</v>
      </c>
    </row>
    <row r="529" spans="1:6">
      <c r="A529" t="s">
        <v>734</v>
      </c>
      <c r="B529" s="81" t="s">
        <v>734</v>
      </c>
      <c r="C529" s="82">
        <f t="shared" ca="1" si="23"/>
        <v>0</v>
      </c>
      <c r="D529" s="81">
        <f t="shared" ca="1" si="24"/>
        <v>0</v>
      </c>
      <c r="E529" s="99">
        <f ca="1">VLOOKUP(B529,'Warehouse Inventory'!$I$2:$L$643,4,FALSE)</f>
        <v>0</v>
      </c>
      <c r="F529" s="108" t="str">
        <f>IFERROR(VLOOKUP(B529,'Warehouse B'!$I$2:$L$148,4,FALSE),"0")</f>
        <v>0</v>
      </c>
    </row>
    <row r="530" spans="1:6">
      <c r="A530" t="s">
        <v>501</v>
      </c>
      <c r="B530" s="80" t="s">
        <v>501</v>
      </c>
      <c r="C530" s="82">
        <f t="shared" ca="1" si="23"/>
        <v>0</v>
      </c>
      <c r="D530" s="81">
        <f t="shared" ca="1" si="24"/>
        <v>0</v>
      </c>
      <c r="E530" s="99">
        <f ca="1">VLOOKUP(B530,'Warehouse Inventory'!$I$2:$L$643,4,FALSE)</f>
        <v>0</v>
      </c>
      <c r="F530" s="108" t="str">
        <f>IFERROR(VLOOKUP(B530,'Warehouse B'!$I$2:$L$148,4,FALSE),"0")</f>
        <v>0</v>
      </c>
    </row>
    <row r="531" spans="1:6">
      <c r="A531" t="s">
        <v>502</v>
      </c>
      <c r="B531" s="80" t="s">
        <v>502</v>
      </c>
      <c r="C531" s="82">
        <f t="shared" ref="C531:C534" ca="1" si="25">D531</f>
        <v>8</v>
      </c>
      <c r="D531" s="81">
        <f t="shared" ca="1" si="24"/>
        <v>8</v>
      </c>
      <c r="E531" s="99">
        <f ca="1">VLOOKUP(B531,'Warehouse Inventory'!$I$2:$L$643,4,FALSE)</f>
        <v>8</v>
      </c>
      <c r="F531" s="108" t="str">
        <f>IFERROR(VLOOKUP(B531,'Warehouse B'!$I$2:$L$148,4,FALSE),"0")</f>
        <v>0</v>
      </c>
    </row>
    <row r="532" spans="1:6">
      <c r="A532" t="s">
        <v>503</v>
      </c>
      <c r="B532" s="80" t="s">
        <v>503</v>
      </c>
      <c r="C532" s="82">
        <f t="shared" ca="1" si="25"/>
        <v>8</v>
      </c>
      <c r="D532" s="81">
        <f t="shared" ca="1" si="24"/>
        <v>8</v>
      </c>
      <c r="E532" s="99">
        <f ca="1">VLOOKUP(B532,'Warehouse Inventory'!$I$2:$L$643,4,FALSE)</f>
        <v>2</v>
      </c>
      <c r="F532" s="108">
        <f ca="1">IFERROR(VLOOKUP(B532,'Warehouse B'!$I$2:$L$148,4,FALSE),"0")</f>
        <v>6</v>
      </c>
    </row>
    <row r="533" spans="1:6">
      <c r="A533" t="s">
        <v>504</v>
      </c>
      <c r="B533" s="80" t="s">
        <v>504</v>
      </c>
      <c r="C533" s="82">
        <f t="shared" ca="1" si="25"/>
        <v>23</v>
      </c>
      <c r="D533" s="81">
        <f t="shared" ca="1" si="24"/>
        <v>23</v>
      </c>
      <c r="E533" s="99">
        <f ca="1">VLOOKUP(B533,'Warehouse Inventory'!$I$2:$L$643,4,FALSE)</f>
        <v>20</v>
      </c>
      <c r="F533" s="108">
        <f ca="1">IFERROR(VLOOKUP(B533,'Warehouse B'!$I$2:$L$148,4,FALSE),"0")</f>
        <v>3</v>
      </c>
    </row>
    <row r="534" spans="1:6">
      <c r="A534" t="s">
        <v>505</v>
      </c>
      <c r="B534" s="80" t="s">
        <v>505</v>
      </c>
      <c r="C534" s="82">
        <f t="shared" ca="1" si="25"/>
        <v>10</v>
      </c>
      <c r="D534" s="81">
        <f t="shared" ca="1" si="24"/>
        <v>10</v>
      </c>
      <c r="E534" s="99">
        <f ca="1">VLOOKUP(B534,'Warehouse Inventory'!$I$2:$L$643,4,FALSE)</f>
        <v>0</v>
      </c>
      <c r="F534" s="108">
        <f ca="1">IFERROR(VLOOKUP(B534,'Warehouse B'!$I$2:$L$148,4,FALSE),"0")</f>
        <v>10</v>
      </c>
    </row>
    <row r="535" spans="1:6">
      <c r="A535" s="56" t="s">
        <v>506</v>
      </c>
      <c r="B535" s="80" t="s">
        <v>506</v>
      </c>
      <c r="C535" s="82">
        <f ca="1">VLOOKUP(B535,PARTS!$G$2:$H$441,2,FALSE)</f>
        <v>40</v>
      </c>
      <c r="D535" s="81">
        <f t="shared" ca="1" si="24"/>
        <v>40</v>
      </c>
      <c r="E535" s="99">
        <f ca="1">VLOOKUP(B535,'Warehouse Inventory'!$I$2:$L$643,4,FALSE)</f>
        <v>24</v>
      </c>
      <c r="F535" s="108">
        <f ca="1">IFERROR(VLOOKUP(B535,'Warehouse B'!$I$2:$L$148,4,FALSE),"0")</f>
        <v>16</v>
      </c>
    </row>
    <row r="536" spans="1:6">
      <c r="A536" s="56" t="s">
        <v>506</v>
      </c>
      <c r="B536" s="80" t="s">
        <v>507</v>
      </c>
      <c r="C536" s="82">
        <f ca="1">VLOOKUP(B536,PARTS!$G$2:$H$441,2,FALSE)</f>
        <v>40</v>
      </c>
      <c r="D536" s="81">
        <f t="shared" ca="1" si="24"/>
        <v>0</v>
      </c>
      <c r="E536" s="99">
        <f ca="1">VLOOKUP(B536,'Warehouse Inventory'!$I$2:$L$643,4,FALSE)</f>
        <v>0</v>
      </c>
      <c r="F536" s="108" t="str">
        <f>IFERROR(VLOOKUP(B536,'Warehouse B'!$I$2:$L$148,4,FALSE),"0")</f>
        <v>0</v>
      </c>
    </row>
    <row r="537" spans="1:6">
      <c r="A537" t="s">
        <v>508</v>
      </c>
      <c r="B537" s="80" t="s">
        <v>508</v>
      </c>
      <c r="C537" s="82">
        <f ca="1">D537</f>
        <v>1</v>
      </c>
      <c r="D537" s="81">
        <f t="shared" ca="1" si="24"/>
        <v>1</v>
      </c>
      <c r="E537" s="99">
        <f ca="1">VLOOKUP(B537,'Warehouse Inventory'!$I$2:$L$643,4,FALSE)</f>
        <v>1</v>
      </c>
      <c r="F537" s="108" t="str">
        <f>IFERROR(VLOOKUP(B537,'Warehouse B'!$I$2:$L$148,4,FALSE),"0")</f>
        <v>0</v>
      </c>
    </row>
    <row r="538" spans="1:6">
      <c r="A538" t="s">
        <v>509</v>
      </c>
      <c r="B538" s="80" t="s">
        <v>509</v>
      </c>
      <c r="C538" s="82">
        <f t="shared" ref="C538:C604" ca="1" si="26">D538</f>
        <v>0</v>
      </c>
      <c r="D538" s="81">
        <f t="shared" ca="1" si="24"/>
        <v>0</v>
      </c>
      <c r="E538" s="99">
        <f ca="1">VLOOKUP(B538,'Warehouse Inventory'!$I$2:$L$643,4,FALSE)</f>
        <v>0</v>
      </c>
      <c r="F538" s="108" t="str">
        <f>IFERROR(VLOOKUP(B538,'Warehouse B'!$I$2:$L$148,4,FALSE),"0")</f>
        <v>0</v>
      </c>
    </row>
    <row r="539" spans="1:6">
      <c r="A539" t="s">
        <v>735</v>
      </c>
      <c r="B539" s="81" t="s">
        <v>735</v>
      </c>
      <c r="C539" s="82">
        <f t="shared" ca="1" si="26"/>
        <v>0</v>
      </c>
      <c r="D539" s="81">
        <f t="shared" ca="1" si="24"/>
        <v>0</v>
      </c>
      <c r="E539" s="99">
        <f ca="1">VLOOKUP(B539,'Warehouse Inventory'!$I$2:$L$643,4,FALSE)</f>
        <v>0</v>
      </c>
      <c r="F539" s="108" t="str">
        <f>IFERROR(VLOOKUP(B539,'Warehouse B'!$I$2:$L$148,4,FALSE),"0")</f>
        <v>0</v>
      </c>
    </row>
    <row r="540" spans="1:6">
      <c r="A540" t="s">
        <v>723</v>
      </c>
      <c r="B540" s="81" t="s">
        <v>723</v>
      </c>
      <c r="C540" s="82">
        <f t="shared" ca="1" si="26"/>
        <v>0</v>
      </c>
      <c r="D540" s="81">
        <f t="shared" ca="1" si="24"/>
        <v>0</v>
      </c>
      <c r="E540" s="99">
        <f ca="1">VLOOKUP(B540,'Warehouse Inventory'!$I$2:$L$643,4,FALSE)</f>
        <v>0</v>
      </c>
      <c r="F540" s="108" t="str">
        <f>IFERROR(VLOOKUP(B540,'Warehouse B'!$I$2:$L$148,4,FALSE),"0")</f>
        <v>0</v>
      </c>
    </row>
    <row r="541" spans="1:6">
      <c r="A541" t="s">
        <v>510</v>
      </c>
      <c r="B541" s="80" t="s">
        <v>510</v>
      </c>
      <c r="C541" s="82">
        <f t="shared" ca="1" si="26"/>
        <v>1</v>
      </c>
      <c r="D541" s="81">
        <f t="shared" ca="1" si="24"/>
        <v>1</v>
      </c>
      <c r="E541" s="99">
        <f ca="1">VLOOKUP(B541,'Warehouse Inventory'!$I$2:$L$643,4,FALSE)</f>
        <v>1</v>
      </c>
      <c r="F541" s="108" t="str">
        <f>IFERROR(VLOOKUP(B541,'Warehouse B'!$I$2:$L$148,4,FALSE),"0")</f>
        <v>0</v>
      </c>
    </row>
    <row r="542" spans="1:6">
      <c r="A542" t="s">
        <v>511</v>
      </c>
      <c r="B542" s="80" t="s">
        <v>511</v>
      </c>
      <c r="C542" s="82">
        <f t="shared" ca="1" si="26"/>
        <v>0</v>
      </c>
      <c r="D542" s="81">
        <f t="shared" ca="1" si="24"/>
        <v>0</v>
      </c>
      <c r="E542" s="99">
        <f ca="1">VLOOKUP(B542,'Warehouse Inventory'!$I$2:$L$643,4,FALSE)</f>
        <v>0</v>
      </c>
      <c r="F542" s="108" t="str">
        <f>IFERROR(VLOOKUP(B542,'Warehouse B'!$I$2:$L$148,4,FALSE),"0")</f>
        <v>0</v>
      </c>
    </row>
    <row r="543" spans="1:6">
      <c r="A543" t="s">
        <v>736</v>
      </c>
      <c r="B543" s="81" t="s">
        <v>736</v>
      </c>
      <c r="C543" s="82">
        <f t="shared" ca="1" si="26"/>
        <v>1</v>
      </c>
      <c r="D543" s="81">
        <f t="shared" ca="1" si="24"/>
        <v>1</v>
      </c>
      <c r="E543" s="99">
        <f ca="1">VLOOKUP(B543,'Warehouse Inventory'!$I$2:$L$643,4,FALSE)</f>
        <v>1</v>
      </c>
      <c r="F543" s="108" t="str">
        <f>IFERROR(VLOOKUP(B543,'Warehouse B'!$I$2:$L$148,4,FALSE),"0")</f>
        <v>0</v>
      </c>
    </row>
    <row r="544" spans="1:6">
      <c r="A544" t="s">
        <v>737</v>
      </c>
      <c r="B544" s="81" t="s">
        <v>737</v>
      </c>
      <c r="C544" s="82">
        <f t="shared" ca="1" si="26"/>
        <v>0</v>
      </c>
      <c r="D544" s="81">
        <f t="shared" ca="1" si="24"/>
        <v>0</v>
      </c>
      <c r="E544" s="99">
        <f ca="1">VLOOKUP(B544,'Warehouse Inventory'!$I$2:$L$643,4,FALSE)</f>
        <v>0</v>
      </c>
      <c r="F544" s="108" t="str">
        <f>IFERROR(VLOOKUP(B544,'Warehouse B'!$I$2:$L$148,4,FALSE),"0")</f>
        <v>0</v>
      </c>
    </row>
    <row r="545" spans="1:6">
      <c r="A545" t="s">
        <v>738</v>
      </c>
      <c r="B545" s="81" t="s">
        <v>738</v>
      </c>
      <c r="C545" s="82">
        <f t="shared" ca="1" si="26"/>
        <v>0</v>
      </c>
      <c r="D545" s="81">
        <f t="shared" ca="1" si="24"/>
        <v>0</v>
      </c>
      <c r="E545" s="99">
        <f ca="1">VLOOKUP(B545,'Warehouse Inventory'!$I$2:$L$643,4,FALSE)</f>
        <v>0</v>
      </c>
      <c r="F545" s="108" t="str">
        <f>IFERROR(VLOOKUP(B545,'Warehouse B'!$I$2:$L$148,4,FALSE),"0")</f>
        <v>0</v>
      </c>
    </row>
    <row r="546" spans="1:6">
      <c r="A546" t="s">
        <v>739</v>
      </c>
      <c r="B546" s="81" t="s">
        <v>739</v>
      </c>
      <c r="C546" s="82">
        <f t="shared" ca="1" si="26"/>
        <v>0</v>
      </c>
      <c r="D546" s="81">
        <f t="shared" ca="1" si="24"/>
        <v>0</v>
      </c>
      <c r="E546" s="99">
        <f ca="1">VLOOKUP(B546,'Warehouse Inventory'!$I$2:$L$643,4,FALSE)</f>
        <v>0</v>
      </c>
      <c r="F546" s="108" t="str">
        <f>IFERROR(VLOOKUP(B546,'Warehouse B'!$I$2:$L$148,4,FALSE),"0")</f>
        <v>0</v>
      </c>
    </row>
    <row r="547" spans="1:6">
      <c r="A547" t="s">
        <v>740</v>
      </c>
      <c r="B547" s="81" t="s">
        <v>740</v>
      </c>
      <c r="C547" s="82">
        <f t="shared" ca="1" si="26"/>
        <v>0</v>
      </c>
      <c r="D547" s="81">
        <f t="shared" ca="1" si="24"/>
        <v>0</v>
      </c>
      <c r="E547" s="99">
        <f ca="1">VLOOKUP(B547,'Warehouse Inventory'!$I$2:$L$643,4,FALSE)</f>
        <v>0</v>
      </c>
      <c r="F547" s="108" t="str">
        <f>IFERROR(VLOOKUP(B547,'Warehouse B'!$I$2:$L$148,4,FALSE),"0")</f>
        <v>0</v>
      </c>
    </row>
    <row r="548" spans="1:6">
      <c r="A548" t="s">
        <v>741</v>
      </c>
      <c r="B548" s="80" t="s">
        <v>741</v>
      </c>
      <c r="C548" s="82">
        <f t="shared" ca="1" si="26"/>
        <v>0</v>
      </c>
      <c r="D548" s="81">
        <f t="shared" ca="1" si="24"/>
        <v>0</v>
      </c>
      <c r="E548" s="99">
        <f ca="1">VLOOKUP(B548,'Warehouse Inventory'!$I$2:$L$643,4,FALSE)</f>
        <v>0</v>
      </c>
      <c r="F548" s="108" t="str">
        <f>IFERROR(VLOOKUP(B548,'Warehouse B'!$I$2:$L$148,4,FALSE),"0")</f>
        <v>0</v>
      </c>
    </row>
    <row r="549" spans="1:6">
      <c r="A549" t="s">
        <v>742</v>
      </c>
      <c r="B549" s="81" t="s">
        <v>742</v>
      </c>
      <c r="C549" s="82">
        <f t="shared" ca="1" si="26"/>
        <v>0</v>
      </c>
      <c r="D549" s="81">
        <f t="shared" ca="1" si="24"/>
        <v>0</v>
      </c>
      <c r="E549" s="99">
        <f ca="1">VLOOKUP(B549,'Warehouse Inventory'!$I$2:$L$643,4,FALSE)</f>
        <v>0</v>
      </c>
      <c r="F549" s="108" t="str">
        <f>IFERROR(VLOOKUP(B549,'Warehouse B'!$I$2:$L$148,4,FALSE),"0")</f>
        <v>0</v>
      </c>
    </row>
    <row r="550" spans="1:6">
      <c r="A550" s="62" t="s">
        <v>512</v>
      </c>
      <c r="B550" s="80" t="s">
        <v>512</v>
      </c>
      <c r="C550" s="82">
        <f t="shared" ca="1" si="26"/>
        <v>5</v>
      </c>
      <c r="D550" s="81">
        <f t="shared" ca="1" si="24"/>
        <v>5</v>
      </c>
      <c r="E550" s="99">
        <f ca="1">VLOOKUP(B550,'Warehouse Inventory'!$I$2:$L$643,4,FALSE)</f>
        <v>5</v>
      </c>
      <c r="F550" s="108" t="str">
        <f>IFERROR(VLOOKUP(B550,'Warehouse B'!$I$2:$L$148,4,FALSE),"0")</f>
        <v>0</v>
      </c>
    </row>
    <row r="551" spans="1:6">
      <c r="A551" s="61" t="s">
        <v>513</v>
      </c>
      <c r="B551" s="80" t="s">
        <v>513</v>
      </c>
      <c r="C551" s="82">
        <f t="shared" ca="1" si="26"/>
        <v>0</v>
      </c>
      <c r="D551" s="81">
        <f t="shared" ca="1" si="24"/>
        <v>0</v>
      </c>
      <c r="E551" s="99">
        <f ca="1">VLOOKUP(B551,'Warehouse Inventory'!$I$2:$L$643,4,FALSE)</f>
        <v>0</v>
      </c>
      <c r="F551" s="108" t="str">
        <f>IFERROR(VLOOKUP(B551,'Warehouse B'!$I$2:$L$148,4,FALSE),"0")</f>
        <v>0</v>
      </c>
    </row>
    <row r="552" spans="1:6">
      <c r="A552" s="56" t="s">
        <v>514</v>
      </c>
      <c r="B552" s="80" t="s">
        <v>514</v>
      </c>
      <c r="C552" s="82">
        <f t="shared" ca="1" si="26"/>
        <v>0</v>
      </c>
      <c r="D552" s="81">
        <f t="shared" ca="1" si="24"/>
        <v>0</v>
      </c>
      <c r="E552" s="99">
        <f ca="1">VLOOKUP(B552,'Warehouse Inventory'!$I$2:$L$643,4,FALSE)</f>
        <v>0</v>
      </c>
      <c r="F552" s="108" t="str">
        <f>IFERROR(VLOOKUP(B552,'Warehouse B'!$I$2:$L$148,4,FALSE),"0")</f>
        <v>0</v>
      </c>
    </row>
    <row r="553" spans="1:6">
      <c r="A553" t="s">
        <v>677</v>
      </c>
      <c r="B553" s="80" t="s">
        <v>515</v>
      </c>
      <c r="C553" s="82">
        <f t="shared" ca="1" si="26"/>
        <v>0</v>
      </c>
      <c r="D553" s="81">
        <f t="shared" ca="1" si="24"/>
        <v>0</v>
      </c>
      <c r="E553" s="99">
        <f ca="1">VLOOKUP(B553,'Warehouse Inventory'!$I$2:$L$643,4,FALSE)</f>
        <v>0</v>
      </c>
      <c r="F553" s="108" t="str">
        <f>IFERROR(VLOOKUP(B553,'Warehouse B'!$I$2:$L$148,4,FALSE),"0")</f>
        <v>0</v>
      </c>
    </row>
    <row r="554" spans="1:6">
      <c r="A554" t="s">
        <v>743</v>
      </c>
      <c r="B554" s="81" t="s">
        <v>743</v>
      </c>
      <c r="C554" s="82">
        <f t="shared" ca="1" si="26"/>
        <v>0</v>
      </c>
      <c r="D554" s="81">
        <f t="shared" ca="1" si="24"/>
        <v>0</v>
      </c>
      <c r="E554" s="99">
        <f ca="1">VLOOKUP(B554,'Warehouse Inventory'!$I$2:$L$643,4,FALSE)</f>
        <v>0</v>
      </c>
      <c r="F554" s="108" t="str">
        <f>IFERROR(VLOOKUP(B554,'Warehouse B'!$I$2:$L$148,4,FALSE),"0")</f>
        <v>0</v>
      </c>
    </row>
    <row r="555" spans="1:6">
      <c r="A555" t="s">
        <v>744</v>
      </c>
      <c r="B555" s="81" t="s">
        <v>744</v>
      </c>
      <c r="C555" s="82">
        <f t="shared" ca="1" si="26"/>
        <v>0</v>
      </c>
      <c r="D555" s="81">
        <f t="shared" ca="1" si="24"/>
        <v>0</v>
      </c>
      <c r="E555" s="99">
        <f ca="1">VLOOKUP(B555,'Warehouse Inventory'!$I$2:$L$643,4,FALSE)</f>
        <v>0</v>
      </c>
      <c r="F555" s="108" t="str">
        <f>IFERROR(VLOOKUP(B555,'Warehouse B'!$I$2:$L$148,4,FALSE),"0")</f>
        <v>0</v>
      </c>
    </row>
    <row r="556" spans="1:6">
      <c r="A556" t="s">
        <v>677</v>
      </c>
      <c r="B556" s="80" t="s">
        <v>516</v>
      </c>
      <c r="C556" s="82">
        <f t="shared" ca="1" si="26"/>
        <v>0</v>
      </c>
      <c r="D556" s="81">
        <f t="shared" ca="1" si="24"/>
        <v>0</v>
      </c>
      <c r="E556" s="99">
        <f ca="1">VLOOKUP(B556,'Warehouse Inventory'!$I$2:$L$643,4,FALSE)</f>
        <v>0</v>
      </c>
      <c r="F556" s="108" t="str">
        <f>IFERROR(VLOOKUP(B556,'Warehouse B'!$I$2:$L$148,4,FALSE),"0")</f>
        <v>0</v>
      </c>
    </row>
    <row r="557" spans="1:6">
      <c r="A557" t="s">
        <v>745</v>
      </c>
      <c r="B557" s="81" t="s">
        <v>745</v>
      </c>
      <c r="C557" s="82">
        <f t="shared" ca="1" si="26"/>
        <v>0</v>
      </c>
      <c r="D557" s="81">
        <f t="shared" ca="1" si="24"/>
        <v>0</v>
      </c>
      <c r="E557" s="99">
        <f ca="1">VLOOKUP(B557,'Warehouse Inventory'!$I$2:$L$643,4,FALSE)</f>
        <v>0</v>
      </c>
      <c r="F557" s="108" t="str">
        <f>IFERROR(VLOOKUP(B557,'Warehouse B'!$I$2:$L$148,4,FALSE),"0")</f>
        <v>0</v>
      </c>
    </row>
    <row r="558" spans="1:6">
      <c r="A558" t="s">
        <v>746</v>
      </c>
      <c r="B558" s="81" t="s">
        <v>746</v>
      </c>
      <c r="C558" s="82">
        <f t="shared" ca="1" si="26"/>
        <v>1</v>
      </c>
      <c r="D558" s="81">
        <f t="shared" ca="1" si="24"/>
        <v>1</v>
      </c>
      <c r="E558" s="99">
        <f ca="1">VLOOKUP(B558,'Warehouse Inventory'!$I$2:$L$643,4,FALSE)</f>
        <v>1</v>
      </c>
      <c r="F558" s="108" t="str">
        <f>IFERROR(VLOOKUP(B558,'Warehouse B'!$I$2:$L$148,4,FALSE),"0")</f>
        <v>0</v>
      </c>
    </row>
    <row r="559" spans="1:6">
      <c r="A559" t="s">
        <v>677</v>
      </c>
      <c r="B559" s="80" t="s">
        <v>517</v>
      </c>
      <c r="C559" s="82">
        <f t="shared" ca="1" si="26"/>
        <v>0</v>
      </c>
      <c r="D559" s="81">
        <f t="shared" ca="1" si="24"/>
        <v>0</v>
      </c>
      <c r="E559" s="99">
        <f ca="1">VLOOKUP(B559,'Warehouse Inventory'!$I$2:$L$643,4,FALSE)</f>
        <v>0</v>
      </c>
      <c r="F559" s="108" t="str">
        <f>IFERROR(VLOOKUP(B559,'Warehouse B'!$I$2:$L$148,4,FALSE),"0")</f>
        <v>0</v>
      </c>
    </row>
    <row r="560" spans="1:6">
      <c r="A560" t="s">
        <v>747</v>
      </c>
      <c r="B560" s="81" t="s">
        <v>747</v>
      </c>
      <c r="C560" s="82">
        <f t="shared" ca="1" si="26"/>
        <v>0</v>
      </c>
      <c r="D560" s="81">
        <f t="shared" ca="1" si="24"/>
        <v>0</v>
      </c>
      <c r="E560" s="99">
        <f ca="1">VLOOKUP(B560,'Warehouse Inventory'!$I$2:$L$643,4,FALSE)</f>
        <v>0</v>
      </c>
      <c r="F560" s="108" t="str">
        <f>IFERROR(VLOOKUP(B560,'Warehouse B'!$I$2:$L$148,4,FALSE),"0")</f>
        <v>0</v>
      </c>
    </row>
    <row r="561" spans="1:6">
      <c r="A561" t="s">
        <v>748</v>
      </c>
      <c r="B561" s="81" t="s">
        <v>748</v>
      </c>
      <c r="C561" s="82">
        <f t="shared" ca="1" si="26"/>
        <v>0</v>
      </c>
      <c r="D561" s="81">
        <f t="shared" ca="1" si="24"/>
        <v>0</v>
      </c>
      <c r="E561" s="99">
        <f ca="1">VLOOKUP(B561,'Warehouse Inventory'!$I$2:$L$643,4,FALSE)</f>
        <v>0</v>
      </c>
      <c r="F561" s="108" t="str">
        <f>IFERROR(VLOOKUP(B561,'Warehouse B'!$I$2:$L$148,4,FALSE),"0")</f>
        <v>0</v>
      </c>
    </row>
    <row r="562" spans="1:6">
      <c r="A562" t="s">
        <v>749</v>
      </c>
      <c r="B562" s="81" t="s">
        <v>749</v>
      </c>
      <c r="C562" s="82">
        <f t="shared" ca="1" si="26"/>
        <v>0</v>
      </c>
      <c r="D562" s="81">
        <f t="shared" ca="1" si="24"/>
        <v>0</v>
      </c>
      <c r="E562" s="99">
        <f ca="1">VLOOKUP(B562,'Warehouse Inventory'!$I$2:$L$643,4,FALSE)</f>
        <v>0</v>
      </c>
      <c r="F562" s="108" t="str">
        <f>IFERROR(VLOOKUP(B562,'Warehouse B'!$I$2:$L$148,4,FALSE),"0")</f>
        <v>0</v>
      </c>
    </row>
    <row r="563" spans="1:6">
      <c r="A563" t="s">
        <v>750</v>
      </c>
      <c r="B563" s="81" t="s">
        <v>750</v>
      </c>
      <c r="C563" s="82">
        <f t="shared" ca="1" si="26"/>
        <v>0</v>
      </c>
      <c r="D563" s="81">
        <f t="shared" ca="1" si="24"/>
        <v>0</v>
      </c>
      <c r="E563" s="99">
        <f ca="1">VLOOKUP(B563,'Warehouse Inventory'!$I$2:$L$643,4,FALSE)</f>
        <v>0</v>
      </c>
      <c r="F563" s="108" t="str">
        <f>IFERROR(VLOOKUP(B563,'Warehouse B'!$I$2:$L$148,4,FALSE),"0")</f>
        <v>0</v>
      </c>
    </row>
    <row r="564" spans="1:6">
      <c r="A564" t="s">
        <v>751</v>
      </c>
      <c r="B564" s="81" t="s">
        <v>751</v>
      </c>
      <c r="C564" s="82">
        <f t="shared" ca="1" si="26"/>
        <v>0</v>
      </c>
      <c r="D564" s="81">
        <f t="shared" ca="1" si="24"/>
        <v>0</v>
      </c>
      <c r="E564" s="99">
        <f ca="1">VLOOKUP(B564,'Warehouse Inventory'!$I$2:$L$643,4,FALSE)</f>
        <v>0</v>
      </c>
      <c r="F564" s="108" t="str">
        <f>IFERROR(VLOOKUP(B564,'Warehouse B'!$I$2:$L$148,4,FALSE),"0")</f>
        <v>0</v>
      </c>
    </row>
    <row r="565" spans="1:6">
      <c r="A565" t="s">
        <v>752</v>
      </c>
      <c r="B565" s="81" t="s">
        <v>752</v>
      </c>
      <c r="C565" s="82">
        <f t="shared" ca="1" si="26"/>
        <v>0</v>
      </c>
      <c r="D565" s="81">
        <f t="shared" ca="1" si="24"/>
        <v>0</v>
      </c>
      <c r="E565" s="99">
        <f ca="1">VLOOKUP(B565,'Warehouse Inventory'!$I$2:$L$643,4,FALSE)</f>
        <v>0</v>
      </c>
      <c r="F565" s="108" t="str">
        <f>IFERROR(VLOOKUP(B565,'Warehouse B'!$I$2:$L$148,4,FALSE),"0")</f>
        <v>0</v>
      </c>
    </row>
    <row r="566" spans="1:6">
      <c r="A566" t="s">
        <v>753</v>
      </c>
      <c r="B566" s="81" t="s">
        <v>753</v>
      </c>
      <c r="C566" s="82">
        <f t="shared" ca="1" si="26"/>
        <v>0</v>
      </c>
      <c r="D566" s="81">
        <f t="shared" ca="1" si="24"/>
        <v>0</v>
      </c>
      <c r="E566" s="99">
        <f ca="1">VLOOKUP(B566,'Warehouse Inventory'!$I$2:$L$643,4,FALSE)</f>
        <v>0</v>
      </c>
      <c r="F566" s="108" t="str">
        <f>IFERROR(VLOOKUP(B566,'Warehouse B'!$I$2:$L$148,4,FALSE),"0")</f>
        <v>0</v>
      </c>
    </row>
    <row r="567" spans="1:6">
      <c r="A567" t="s">
        <v>518</v>
      </c>
      <c r="B567" s="80" t="s">
        <v>518</v>
      </c>
      <c r="C567" s="82">
        <f t="shared" ca="1" si="26"/>
        <v>0</v>
      </c>
      <c r="D567" s="81">
        <f t="shared" ca="1" si="24"/>
        <v>0</v>
      </c>
      <c r="E567" s="99">
        <f ca="1">VLOOKUP(B567,'Warehouse Inventory'!$I$2:$L$643,4,FALSE)</f>
        <v>0</v>
      </c>
      <c r="F567" s="108" t="str">
        <f>IFERROR(VLOOKUP(B567,'Warehouse B'!$I$2:$L$148,4,FALSE),"0")</f>
        <v>0</v>
      </c>
    </row>
    <row r="568" spans="1:6">
      <c r="A568" t="s">
        <v>754</v>
      </c>
      <c r="B568" s="81" t="s">
        <v>754</v>
      </c>
      <c r="C568" s="82">
        <f t="shared" ca="1" si="26"/>
        <v>0</v>
      </c>
      <c r="D568" s="81">
        <f t="shared" ca="1" si="24"/>
        <v>0</v>
      </c>
      <c r="E568" s="99">
        <f ca="1">VLOOKUP(B568,'Warehouse Inventory'!$I$2:$L$643,4,FALSE)</f>
        <v>0</v>
      </c>
      <c r="F568" s="108" t="str">
        <f>IFERROR(VLOOKUP(B568,'Warehouse B'!$I$2:$L$148,4,FALSE),"0")</f>
        <v>0</v>
      </c>
    </row>
    <row r="569" spans="1:6">
      <c r="A569" t="s">
        <v>755</v>
      </c>
      <c r="B569" s="81" t="s">
        <v>755</v>
      </c>
      <c r="C569" s="82">
        <f t="shared" ca="1" si="26"/>
        <v>0</v>
      </c>
      <c r="D569" s="81">
        <f t="shared" ca="1" si="24"/>
        <v>0</v>
      </c>
      <c r="E569" s="99">
        <f ca="1">VLOOKUP(B569,'Warehouse Inventory'!$I$2:$L$643,4,FALSE)</f>
        <v>0</v>
      </c>
      <c r="F569" s="108" t="str">
        <f>IFERROR(VLOOKUP(B569,'Warehouse B'!$I$2:$L$148,4,FALSE),"0")</f>
        <v>0</v>
      </c>
    </row>
    <row r="570" spans="1:6">
      <c r="A570" t="s">
        <v>519</v>
      </c>
      <c r="B570" s="80" t="s">
        <v>519</v>
      </c>
      <c r="C570" s="82">
        <f t="shared" ca="1" si="26"/>
        <v>0</v>
      </c>
      <c r="D570" s="81">
        <f t="shared" ca="1" si="24"/>
        <v>0</v>
      </c>
      <c r="E570" s="99">
        <f ca="1">VLOOKUP(B570,'Warehouse Inventory'!$I$2:$L$643,4,FALSE)</f>
        <v>0</v>
      </c>
      <c r="F570" s="108" t="str">
        <f>IFERROR(VLOOKUP(B570,'Warehouse B'!$I$2:$L$148,4,FALSE),"0")</f>
        <v>0</v>
      </c>
    </row>
    <row r="571" spans="1:6">
      <c r="A571" t="s">
        <v>756</v>
      </c>
      <c r="B571" s="81" t="s">
        <v>756</v>
      </c>
      <c r="C571" s="82">
        <f t="shared" ca="1" si="26"/>
        <v>0</v>
      </c>
      <c r="D571" s="81">
        <f t="shared" ca="1" si="24"/>
        <v>0</v>
      </c>
      <c r="E571" s="99">
        <f ca="1">VLOOKUP(B571,'Warehouse Inventory'!$I$2:$L$643,4,FALSE)</f>
        <v>0</v>
      </c>
      <c r="F571" s="108" t="str">
        <f>IFERROR(VLOOKUP(B571,'Warehouse B'!$I$2:$L$148,4,FALSE),"0")</f>
        <v>0</v>
      </c>
    </row>
    <row r="572" spans="1:6">
      <c r="A572" t="s">
        <v>520</v>
      </c>
      <c r="B572" s="80" t="s">
        <v>520</v>
      </c>
      <c r="C572" s="82">
        <f t="shared" ca="1" si="26"/>
        <v>0</v>
      </c>
      <c r="D572" s="81">
        <f t="shared" ca="1" si="24"/>
        <v>0</v>
      </c>
      <c r="E572" s="99">
        <f ca="1">VLOOKUP(B572,'Warehouse Inventory'!$I$2:$L$643,4,FALSE)</f>
        <v>0</v>
      </c>
      <c r="F572" s="108" t="str">
        <f>IFERROR(VLOOKUP(B572,'Warehouse B'!$I$2:$L$148,4,FALSE),"0")</f>
        <v>0</v>
      </c>
    </row>
    <row r="573" spans="1:6">
      <c r="A573" t="s">
        <v>521</v>
      </c>
      <c r="B573" s="80" t="s">
        <v>521</v>
      </c>
      <c r="C573" s="82">
        <f t="shared" ca="1" si="26"/>
        <v>0</v>
      </c>
      <c r="D573" s="81">
        <f t="shared" ca="1" si="24"/>
        <v>0</v>
      </c>
      <c r="E573" s="99">
        <f ca="1">VLOOKUP(B573,'Warehouse Inventory'!$I$2:$L$643,4,FALSE)</f>
        <v>0</v>
      </c>
      <c r="F573" s="108" t="str">
        <f>IFERROR(VLOOKUP(B573,'Warehouse B'!$I$2:$L$148,4,FALSE),"0")</f>
        <v>0</v>
      </c>
    </row>
    <row r="574" spans="1:6">
      <c r="A574" t="s">
        <v>522</v>
      </c>
      <c r="B574" s="80" t="s">
        <v>522</v>
      </c>
      <c r="C574" s="82">
        <f t="shared" ca="1" si="26"/>
        <v>0</v>
      </c>
      <c r="D574" s="81">
        <f t="shared" ca="1" si="24"/>
        <v>0</v>
      </c>
      <c r="E574" s="99">
        <f ca="1">VLOOKUP(B574,'Warehouse Inventory'!$I$2:$L$643,4,FALSE)</f>
        <v>0</v>
      </c>
      <c r="F574" s="108" t="str">
        <f>IFERROR(VLOOKUP(B574,'Warehouse B'!$I$2:$L$148,4,FALSE),"0")</f>
        <v>0</v>
      </c>
    </row>
    <row r="575" spans="1:6">
      <c r="A575" t="s">
        <v>523</v>
      </c>
      <c r="B575" s="80" t="s">
        <v>523</v>
      </c>
      <c r="C575" s="82">
        <f t="shared" ca="1" si="26"/>
        <v>0</v>
      </c>
      <c r="D575" s="81">
        <f t="shared" ca="1" si="24"/>
        <v>0</v>
      </c>
      <c r="E575" s="99">
        <f ca="1">VLOOKUP(B575,'Warehouse Inventory'!$I$2:$L$643,4,FALSE)</f>
        <v>0</v>
      </c>
      <c r="F575" s="108" t="str">
        <f>IFERROR(VLOOKUP(B575,'Warehouse B'!$I$2:$L$148,4,FALSE),"0")</f>
        <v>0</v>
      </c>
    </row>
    <row r="576" spans="1:6">
      <c r="A576" t="s">
        <v>524</v>
      </c>
      <c r="B576" s="80" t="s">
        <v>524</v>
      </c>
      <c r="C576" s="82">
        <f t="shared" ca="1" si="26"/>
        <v>0</v>
      </c>
      <c r="D576" s="81">
        <f t="shared" ca="1" si="24"/>
        <v>0</v>
      </c>
      <c r="E576" s="99">
        <f ca="1">VLOOKUP(B576,'Warehouse Inventory'!$I$2:$L$643,4,FALSE)</f>
        <v>0</v>
      </c>
      <c r="F576" s="108" t="str">
        <f>IFERROR(VLOOKUP(B576,'Warehouse B'!$I$2:$L$148,4,FALSE),"0")</f>
        <v>0</v>
      </c>
    </row>
    <row r="577" spans="1:6">
      <c r="A577" t="s">
        <v>525</v>
      </c>
      <c r="B577" s="80" t="s">
        <v>525</v>
      </c>
      <c r="C577" s="82">
        <f t="shared" ca="1" si="26"/>
        <v>0</v>
      </c>
      <c r="D577" s="81">
        <f t="shared" ca="1" si="24"/>
        <v>0</v>
      </c>
      <c r="E577" s="99">
        <f ca="1">VLOOKUP(B577,'Warehouse Inventory'!$I$2:$L$643,4,FALSE)</f>
        <v>0</v>
      </c>
      <c r="F577" s="108" t="str">
        <f>IFERROR(VLOOKUP(B577,'Warehouse B'!$I$2:$L$148,4,FALSE),"0")</f>
        <v>0</v>
      </c>
    </row>
    <row r="578" spans="1:6">
      <c r="A578" s="3" t="s">
        <v>760</v>
      </c>
      <c r="B578" s="80" t="s">
        <v>760</v>
      </c>
      <c r="C578" s="82">
        <f t="shared" ca="1" si="26"/>
        <v>7</v>
      </c>
      <c r="D578" s="81">
        <f t="shared" ca="1" si="24"/>
        <v>7</v>
      </c>
      <c r="E578" s="99">
        <f ca="1">VLOOKUP(B578,'Warehouse Inventory'!$I$2:$L$643,4,FALSE)</f>
        <v>7</v>
      </c>
      <c r="F578" s="108" t="str">
        <f>IFERROR(VLOOKUP(B578,'Warehouse B'!$I$2:$L$148,4,FALSE),"0")</f>
        <v>0</v>
      </c>
    </row>
    <row r="579" spans="1:6">
      <c r="A579" t="s">
        <v>526</v>
      </c>
      <c r="B579" s="80" t="s">
        <v>526</v>
      </c>
      <c r="C579" s="82">
        <f t="shared" ca="1" si="26"/>
        <v>0</v>
      </c>
      <c r="D579" s="81">
        <f t="shared" ca="1" si="24"/>
        <v>0</v>
      </c>
      <c r="E579" s="99">
        <f ca="1">VLOOKUP(B579,'Warehouse Inventory'!$I$2:$L$643,4,FALSE)</f>
        <v>0</v>
      </c>
      <c r="F579" s="108" t="str">
        <f>IFERROR(VLOOKUP(B579,'Warehouse B'!$I$2:$L$148,4,FALSE),"0")</f>
        <v>0</v>
      </c>
    </row>
    <row r="580" spans="1:6">
      <c r="A580" t="s">
        <v>757</v>
      </c>
      <c r="B580" s="81" t="s">
        <v>757</v>
      </c>
      <c r="C580" s="82">
        <f t="shared" ca="1" si="26"/>
        <v>0</v>
      </c>
      <c r="D580" s="81">
        <f t="shared" ca="1" si="24"/>
        <v>0</v>
      </c>
      <c r="E580" s="99">
        <f ca="1">VLOOKUP(B580,'Warehouse Inventory'!$I$2:$L$643,4,FALSE)</f>
        <v>0</v>
      </c>
      <c r="F580" s="108" t="str">
        <f>IFERROR(VLOOKUP(B580,'Warehouse B'!$I$2:$L$148,4,FALSE),"0")</f>
        <v>0</v>
      </c>
    </row>
    <row r="581" spans="1:6">
      <c r="A581" t="s">
        <v>16</v>
      </c>
      <c r="B581" s="80" t="s">
        <v>16</v>
      </c>
      <c r="C581" s="82">
        <f t="shared" ca="1" si="26"/>
        <v>27</v>
      </c>
      <c r="D581" s="81">
        <f t="shared" ca="1" si="24"/>
        <v>27</v>
      </c>
      <c r="E581" s="99">
        <f ca="1">VLOOKUP(B581,'Warehouse Inventory'!$I$2:$L$643,4,FALSE)</f>
        <v>27</v>
      </c>
      <c r="F581" s="108" t="str">
        <f>IFERROR(VLOOKUP(B581,'Warehouse B'!$I$2:$L$148,4,FALSE),"0")</f>
        <v>0</v>
      </c>
    </row>
    <row r="582" spans="1:6">
      <c r="A582" t="s">
        <v>527</v>
      </c>
      <c r="B582" s="29" t="s">
        <v>527</v>
      </c>
      <c r="C582" s="82">
        <f t="shared" ca="1" si="26"/>
        <v>0</v>
      </c>
      <c r="D582" s="81">
        <f t="shared" ca="1" si="24"/>
        <v>0</v>
      </c>
      <c r="E582" s="99">
        <f ca="1">VLOOKUP(B582,'Warehouse Inventory'!$I$2:$L$643,4,FALSE)</f>
        <v>0</v>
      </c>
      <c r="F582" s="108" t="str">
        <f>IFERROR(VLOOKUP(B582,'Warehouse B'!$I$2:$L$148,4,FALSE),"0")</f>
        <v>0</v>
      </c>
    </row>
    <row r="583" spans="1:6">
      <c r="A583" t="s">
        <v>528</v>
      </c>
      <c r="B583" s="29" t="s">
        <v>528</v>
      </c>
      <c r="C583" s="82">
        <f t="shared" ca="1" si="26"/>
        <v>2</v>
      </c>
      <c r="D583" s="81">
        <f t="shared" ca="1" si="24"/>
        <v>2</v>
      </c>
      <c r="E583" s="99">
        <f ca="1">VLOOKUP(B583,'Warehouse Inventory'!$I$2:$L$643,4,FALSE)</f>
        <v>2</v>
      </c>
      <c r="F583" s="108" t="str">
        <f>IFERROR(VLOOKUP(B583,'Warehouse B'!$I$2:$L$148,4,FALSE),"0")</f>
        <v>0</v>
      </c>
    </row>
    <row r="584" spans="1:6">
      <c r="A584" t="s">
        <v>758</v>
      </c>
      <c r="B584" s="81" t="s">
        <v>758</v>
      </c>
      <c r="C584" s="82">
        <f t="shared" ca="1" si="26"/>
        <v>0</v>
      </c>
      <c r="D584" s="81">
        <f t="shared" ref="D584:D642" ca="1" si="27">E584+F584</f>
        <v>0</v>
      </c>
      <c r="E584" s="99">
        <f ca="1">VLOOKUP(B584,'Warehouse Inventory'!$I$2:$L$643,4,FALSE)</f>
        <v>0</v>
      </c>
      <c r="F584" s="108" t="str">
        <f>IFERROR(VLOOKUP(B584,'Warehouse B'!$I$2:$L$148,4,FALSE),"0")</f>
        <v>0</v>
      </c>
    </row>
    <row r="585" spans="1:6">
      <c r="A585" t="s">
        <v>697</v>
      </c>
      <c r="B585" s="80" t="s">
        <v>697</v>
      </c>
      <c r="C585" s="82">
        <f t="shared" ca="1" si="26"/>
        <v>2</v>
      </c>
      <c r="D585" s="81">
        <f t="shared" ca="1" si="27"/>
        <v>2</v>
      </c>
      <c r="E585" s="99">
        <f ca="1">VLOOKUP(B585,'Warehouse Inventory'!$I$2:$L$643,4,FALSE)</f>
        <v>2</v>
      </c>
      <c r="F585" s="108" t="str">
        <f>IFERROR(VLOOKUP(B585,'Warehouse B'!$I$2:$L$148,4,FALSE),"0")</f>
        <v>0</v>
      </c>
    </row>
    <row r="586" spans="1:6">
      <c r="A586" t="s">
        <v>22</v>
      </c>
      <c r="B586" s="80" t="s">
        <v>22</v>
      </c>
      <c r="C586" s="82">
        <f t="shared" ca="1" si="26"/>
        <v>12</v>
      </c>
      <c r="D586" s="81">
        <f t="shared" ca="1" si="27"/>
        <v>12</v>
      </c>
      <c r="E586" s="99">
        <f ca="1">VLOOKUP(B586,'Warehouse Inventory'!$I$2:$L$643,4,FALSE)</f>
        <v>0</v>
      </c>
      <c r="F586" s="108">
        <f ca="1">IFERROR(VLOOKUP(B586,'Warehouse B'!$I$2:$L$148,4,FALSE),"0")</f>
        <v>12</v>
      </c>
    </row>
    <row r="587" spans="1:6">
      <c r="A587" t="s">
        <v>529</v>
      </c>
      <c r="B587" s="80" t="s">
        <v>529</v>
      </c>
      <c r="C587" s="82">
        <f t="shared" ca="1" si="26"/>
        <v>20</v>
      </c>
      <c r="D587" s="81">
        <f t="shared" ca="1" si="27"/>
        <v>20</v>
      </c>
      <c r="E587" s="99">
        <f ca="1">VLOOKUP(B587,'Warehouse Inventory'!$I$2:$L$643,4,FALSE)</f>
        <v>6</v>
      </c>
      <c r="F587" s="108">
        <f ca="1">IFERROR(VLOOKUP(B587,'Warehouse B'!$I$2:$L$148,4,FALSE),"0")</f>
        <v>14</v>
      </c>
    </row>
    <row r="588" spans="1:6">
      <c r="A588" t="s">
        <v>262</v>
      </c>
      <c r="B588" s="80" t="s">
        <v>262</v>
      </c>
      <c r="C588" s="82">
        <f t="shared" ca="1" si="26"/>
        <v>2</v>
      </c>
      <c r="D588" s="81">
        <f t="shared" ca="1" si="27"/>
        <v>2</v>
      </c>
      <c r="E588" s="99">
        <f ca="1">VLOOKUP(B588,'Warehouse Inventory'!$I$2:$L$643,4,FALSE)</f>
        <v>2</v>
      </c>
      <c r="F588" s="108" t="str">
        <f>IFERROR(VLOOKUP(B588,'Warehouse B'!$I$2:$L$148,4,FALSE),"0")</f>
        <v>0</v>
      </c>
    </row>
    <row r="589" spans="1:6">
      <c r="A589" t="s">
        <v>263</v>
      </c>
      <c r="B589" s="80" t="s">
        <v>263</v>
      </c>
      <c r="C589" s="82">
        <f t="shared" ca="1" si="26"/>
        <v>0</v>
      </c>
      <c r="D589" s="81">
        <f t="shared" ca="1" si="27"/>
        <v>0</v>
      </c>
      <c r="E589" s="99">
        <f ca="1">VLOOKUP(B589,'Warehouse Inventory'!$I$2:$L$643,4,FALSE)</f>
        <v>0</v>
      </c>
      <c r="F589" s="108" t="str">
        <f>IFERROR(VLOOKUP(B589,'Warehouse B'!$I$2:$L$148,4,FALSE),"0")</f>
        <v>0</v>
      </c>
    </row>
    <row r="590" spans="1:6">
      <c r="A590" t="s">
        <v>759</v>
      </c>
      <c r="B590" s="81" t="s">
        <v>759</v>
      </c>
      <c r="C590" s="82">
        <f t="shared" ca="1" si="26"/>
        <v>0</v>
      </c>
      <c r="D590" s="81">
        <f t="shared" ca="1" si="27"/>
        <v>0</v>
      </c>
      <c r="E590" s="99">
        <f ca="1">VLOOKUP(B590,'Warehouse Inventory'!$I$2:$L$643,4,FALSE)</f>
        <v>0</v>
      </c>
      <c r="F590" s="108" t="str">
        <f>IFERROR(VLOOKUP(B590,'Warehouse B'!$I$2:$L$148,4,FALSE),"0")</f>
        <v>0</v>
      </c>
    </row>
    <row r="591" spans="1:6">
      <c r="A591" t="s">
        <v>530</v>
      </c>
      <c r="B591" s="80" t="s">
        <v>530</v>
      </c>
      <c r="C591" s="82">
        <f t="shared" ca="1" si="26"/>
        <v>14</v>
      </c>
      <c r="D591" s="81">
        <f t="shared" ca="1" si="27"/>
        <v>14</v>
      </c>
      <c r="E591" s="99">
        <f ca="1">VLOOKUP(B591,'Warehouse Inventory'!$I$2:$L$643,4,FALSE)</f>
        <v>14</v>
      </c>
      <c r="F591" s="108" t="str">
        <f>IFERROR(VLOOKUP(B591,'Warehouse B'!$I$2:$L$148,4,FALSE),"0")</f>
        <v>0</v>
      </c>
    </row>
    <row r="592" spans="1:6">
      <c r="A592" t="s">
        <v>531</v>
      </c>
      <c r="B592" s="80" t="s">
        <v>531</v>
      </c>
      <c r="C592" s="82">
        <f t="shared" ca="1" si="26"/>
        <v>9</v>
      </c>
      <c r="D592" s="81">
        <f t="shared" ca="1" si="27"/>
        <v>9</v>
      </c>
      <c r="E592" s="99">
        <f ca="1">VLOOKUP(B592,'Warehouse Inventory'!$I$2:$L$643,4,FALSE)</f>
        <v>9</v>
      </c>
      <c r="F592" s="108" t="str">
        <f>IFERROR(VLOOKUP(B592,'Warehouse B'!$I$2:$L$148,4,FALSE),"0")</f>
        <v>0</v>
      </c>
    </row>
    <row r="593" spans="1:6">
      <c r="A593" t="s">
        <v>532</v>
      </c>
      <c r="B593" s="80" t="s">
        <v>532</v>
      </c>
      <c r="C593" s="82">
        <f t="shared" ca="1" si="26"/>
        <v>0</v>
      </c>
      <c r="D593" s="81">
        <f t="shared" ca="1" si="27"/>
        <v>0</v>
      </c>
      <c r="E593" s="99">
        <f ca="1">VLOOKUP(B593,'Warehouse Inventory'!$I$2:$L$643,4,FALSE)</f>
        <v>0</v>
      </c>
      <c r="F593" s="108" t="str">
        <f>IFERROR(VLOOKUP(B593,'Warehouse B'!$I$2:$L$148,4,FALSE),"0")</f>
        <v>0</v>
      </c>
    </row>
    <row r="594" spans="1:6">
      <c r="A594" t="s">
        <v>533</v>
      </c>
      <c r="B594" s="81" t="s">
        <v>533</v>
      </c>
      <c r="C594" s="82">
        <f t="shared" ca="1" si="26"/>
        <v>0</v>
      </c>
      <c r="D594" s="81">
        <f t="shared" ca="1" si="27"/>
        <v>0</v>
      </c>
      <c r="E594" s="99">
        <f ca="1">VLOOKUP(B594,'Warehouse Inventory'!$I$2:$L$643,4,FALSE)</f>
        <v>0</v>
      </c>
      <c r="F594" s="108" t="str">
        <f>IFERROR(VLOOKUP(B594,'Warehouse B'!$I$2:$L$148,4,FALSE),"0")</f>
        <v>0</v>
      </c>
    </row>
    <row r="595" spans="1:6">
      <c r="A595" t="s">
        <v>264</v>
      </c>
      <c r="B595" s="80" t="s">
        <v>264</v>
      </c>
      <c r="C595" s="82">
        <f t="shared" ca="1" si="26"/>
        <v>1</v>
      </c>
      <c r="D595" s="81">
        <f t="shared" ca="1" si="27"/>
        <v>1</v>
      </c>
      <c r="E595" s="99">
        <f ca="1">VLOOKUP(B595,'Warehouse Inventory'!$I$2:$L$643,4,FALSE)</f>
        <v>1</v>
      </c>
      <c r="F595" s="108" t="str">
        <f>IFERROR(VLOOKUP(B595,'Warehouse B'!$I$2:$L$148,4,FALSE),"0")</f>
        <v>0</v>
      </c>
    </row>
    <row r="596" spans="1:6" s="99" customFormat="1">
      <c r="A596" s="111" t="s">
        <v>815</v>
      </c>
      <c r="B596" s="111" t="s">
        <v>815</v>
      </c>
      <c r="C596" s="82">
        <f t="shared" ref="C596:C597" ca="1" si="28">D596</f>
        <v>27</v>
      </c>
      <c r="D596" s="81">
        <f t="shared" ref="D596:D597" ca="1" si="29">E596+F596</f>
        <v>27</v>
      </c>
      <c r="E596" s="99">
        <f ca="1">VLOOKUP(B596,'Warehouse Inventory'!$I$2:$L$643,4,FALSE)</f>
        <v>0</v>
      </c>
      <c r="F596" s="108">
        <f ca="1">IFERROR(VLOOKUP(B596,'Warehouse B'!$I$2:$L$148,4,FALSE),"0")</f>
        <v>27</v>
      </c>
    </row>
    <row r="597" spans="1:6" s="99" customFormat="1">
      <c r="A597" s="77" t="s">
        <v>814</v>
      </c>
      <c r="B597" s="77" t="s">
        <v>814</v>
      </c>
      <c r="C597" s="82">
        <f t="shared" ca="1" si="28"/>
        <v>25</v>
      </c>
      <c r="D597" s="81">
        <f t="shared" ca="1" si="29"/>
        <v>25</v>
      </c>
      <c r="E597" s="99">
        <f ca="1">VLOOKUP(B597,'Warehouse Inventory'!$I$2:$L$643,4,FALSE)</f>
        <v>0</v>
      </c>
      <c r="F597" s="108">
        <f ca="1">IFERROR(VLOOKUP(B597,'Warehouse B'!$I$2:$L$148,4,FALSE),"0")</f>
        <v>25</v>
      </c>
    </row>
    <row r="598" spans="1:6" s="99" customFormat="1">
      <c r="A598" s="112" t="s">
        <v>816</v>
      </c>
      <c r="B598" s="112" t="s">
        <v>816</v>
      </c>
      <c r="C598" s="82">
        <f t="shared" ref="C598" ca="1" si="30">D598</f>
        <v>37</v>
      </c>
      <c r="D598" s="81">
        <f t="shared" ref="D598" ca="1" si="31">E598+F598</f>
        <v>37</v>
      </c>
      <c r="E598" s="99">
        <f ca="1">VLOOKUP(B598,'Warehouse Inventory'!$I$2:$L$643,4,FALSE)</f>
        <v>0</v>
      </c>
      <c r="F598" s="108">
        <f ca="1">IFERROR(VLOOKUP(B598,'Warehouse B'!$I$2:$L$148,4,FALSE),"0")</f>
        <v>37</v>
      </c>
    </row>
    <row r="599" spans="1:6">
      <c r="A599" t="s">
        <v>534</v>
      </c>
      <c r="B599" s="80" t="s">
        <v>534</v>
      </c>
      <c r="C599" s="82">
        <f t="shared" ca="1" si="26"/>
        <v>86</v>
      </c>
      <c r="D599" s="81">
        <f t="shared" ca="1" si="27"/>
        <v>86</v>
      </c>
      <c r="E599" s="99">
        <f ca="1">VLOOKUP(B599,'Warehouse Inventory'!$I$2:$L$643,4,FALSE)</f>
        <v>30</v>
      </c>
      <c r="F599" s="108">
        <f ca="1">IFERROR(VLOOKUP(B599,'Warehouse B'!$I$2:$L$148,4,FALSE),"0")</f>
        <v>56</v>
      </c>
    </row>
    <row r="600" spans="1:6">
      <c r="A600" t="s">
        <v>535</v>
      </c>
      <c r="B600" s="80" t="s">
        <v>535</v>
      </c>
      <c r="C600" s="82">
        <f t="shared" ca="1" si="26"/>
        <v>64</v>
      </c>
      <c r="D600" s="81">
        <f t="shared" ca="1" si="27"/>
        <v>64</v>
      </c>
      <c r="E600" s="99">
        <f ca="1">VLOOKUP(B600,'Warehouse Inventory'!$I$2:$L$643,4,FALSE)</f>
        <v>26</v>
      </c>
      <c r="F600" s="108">
        <f ca="1">IFERROR(VLOOKUP(B600,'Warehouse B'!$I$2:$L$148,4,FALSE),"0")</f>
        <v>38</v>
      </c>
    </row>
    <row r="601" spans="1:6">
      <c r="A601" t="s">
        <v>536</v>
      </c>
      <c r="B601" s="80" t="s">
        <v>536</v>
      </c>
      <c r="C601" s="82">
        <v>0</v>
      </c>
      <c r="D601" s="81">
        <f t="shared" ca="1" si="27"/>
        <v>1</v>
      </c>
      <c r="E601" s="99">
        <f ca="1">VLOOKUP(B601,'Warehouse Inventory'!$I$2:$L$643,4,FALSE)</f>
        <v>0</v>
      </c>
      <c r="F601" s="108">
        <f ca="1">IFERROR(VLOOKUP(B601,'Warehouse B'!$I$2:$L$148,4,FALSE),"0")</f>
        <v>1</v>
      </c>
    </row>
    <row r="602" spans="1:6">
      <c r="A602" t="s">
        <v>537</v>
      </c>
      <c r="B602" s="80" t="s">
        <v>537</v>
      </c>
      <c r="C602" s="82">
        <f t="shared" ca="1" si="26"/>
        <v>63</v>
      </c>
      <c r="D602" s="81">
        <f t="shared" ca="1" si="27"/>
        <v>63</v>
      </c>
      <c r="E602" s="99">
        <f ca="1">VLOOKUP(B602,'Warehouse Inventory'!$I$2:$L$643,4,FALSE)</f>
        <v>18</v>
      </c>
      <c r="F602" s="108">
        <f ca="1">IFERROR(VLOOKUP(B602,'Warehouse B'!$I$2:$L$148,4,FALSE),"0")</f>
        <v>45</v>
      </c>
    </row>
    <row r="603" spans="1:6">
      <c r="A603" t="s">
        <v>538</v>
      </c>
      <c r="B603" s="80" t="s">
        <v>538</v>
      </c>
      <c r="C603" s="82">
        <f t="shared" ca="1" si="26"/>
        <v>238</v>
      </c>
      <c r="D603" s="81">
        <f t="shared" ca="1" si="27"/>
        <v>238</v>
      </c>
      <c r="E603" s="99">
        <f ca="1">VLOOKUP(B603,'Warehouse Inventory'!$I$2:$L$643,4,FALSE)</f>
        <v>52</v>
      </c>
      <c r="F603" s="108">
        <f ca="1">IFERROR(VLOOKUP(B603,'Warehouse B'!$I$2:$L$148,4,FALSE),"0")</f>
        <v>186</v>
      </c>
    </row>
    <row r="604" spans="1:6">
      <c r="A604" t="s">
        <v>539</v>
      </c>
      <c r="B604" s="80" t="s">
        <v>539</v>
      </c>
      <c r="C604" s="82">
        <f t="shared" ca="1" si="26"/>
        <v>195</v>
      </c>
      <c r="D604" s="81">
        <f t="shared" ca="1" si="27"/>
        <v>195</v>
      </c>
      <c r="E604" s="99">
        <f ca="1">VLOOKUP(B604,'Warehouse Inventory'!$I$2:$L$643,4,FALSE)</f>
        <v>0</v>
      </c>
      <c r="F604" s="108">
        <f ca="1">IFERROR(VLOOKUP(B604,'Warehouse B'!$I$2:$L$148,4,FALSE),"0")</f>
        <v>195</v>
      </c>
    </row>
    <row r="605" spans="1:6">
      <c r="A605" t="s">
        <v>540</v>
      </c>
      <c r="B605" s="80" t="s">
        <v>540</v>
      </c>
      <c r="C605" s="82">
        <f t="shared" ref="C605:C642" ca="1" si="32">D605</f>
        <v>15</v>
      </c>
      <c r="D605" s="81">
        <f t="shared" ca="1" si="27"/>
        <v>15</v>
      </c>
      <c r="E605" s="99">
        <f ca="1">VLOOKUP(B605,'Warehouse Inventory'!$I$2:$L$643,4,FALSE)</f>
        <v>15</v>
      </c>
      <c r="F605" s="108" t="str">
        <f>IFERROR(VLOOKUP(B605,'Warehouse B'!$I$2:$L$148,4,FALSE),"0")</f>
        <v>0</v>
      </c>
    </row>
    <row r="606" spans="1:6">
      <c r="A606" t="s">
        <v>541</v>
      </c>
      <c r="B606" s="80" t="s">
        <v>541</v>
      </c>
      <c r="C606" s="82">
        <f t="shared" ca="1" si="32"/>
        <v>0</v>
      </c>
      <c r="D606" s="81">
        <f t="shared" ca="1" si="27"/>
        <v>0</v>
      </c>
      <c r="E606" s="99">
        <f ca="1">VLOOKUP(B606,'Warehouse Inventory'!$I$2:$L$643,4,FALSE)</f>
        <v>0</v>
      </c>
      <c r="F606" s="108" t="str">
        <f>IFERROR(VLOOKUP(B606,'Warehouse B'!$I$2:$L$148,4,FALSE),"0")</f>
        <v>0</v>
      </c>
    </row>
    <row r="607" spans="1:6">
      <c r="A607" t="s">
        <v>542</v>
      </c>
      <c r="B607" s="80" t="s">
        <v>542</v>
      </c>
      <c r="C607" s="82">
        <f t="shared" ca="1" si="32"/>
        <v>2</v>
      </c>
      <c r="D607" s="81">
        <f t="shared" ca="1" si="27"/>
        <v>2</v>
      </c>
      <c r="E607" s="99">
        <f ca="1">VLOOKUP(B607,'Warehouse Inventory'!$I$2:$L$643,4,FALSE)</f>
        <v>0</v>
      </c>
      <c r="F607" s="108">
        <f ca="1">IFERROR(VLOOKUP(B607,'Warehouse B'!$I$2:$L$148,4,FALSE),"0")</f>
        <v>2</v>
      </c>
    </row>
    <row r="608" spans="1:6">
      <c r="A608" t="s">
        <v>543</v>
      </c>
      <c r="B608" s="80" t="s">
        <v>543</v>
      </c>
      <c r="C608" s="82">
        <f t="shared" ca="1" si="32"/>
        <v>316</v>
      </c>
      <c r="D608" s="81">
        <f t="shared" ca="1" si="27"/>
        <v>316</v>
      </c>
      <c r="E608" s="99">
        <f ca="1">VLOOKUP(B608,'Warehouse Inventory'!$I$2:$L$643,4,FALSE)</f>
        <v>54</v>
      </c>
      <c r="F608" s="108">
        <f ca="1">IFERROR(VLOOKUP(B608,'Warehouse B'!$I$2:$L$148,4,FALSE),"0")</f>
        <v>262</v>
      </c>
    </row>
    <row r="609" spans="1:6">
      <c r="A609" t="s">
        <v>544</v>
      </c>
      <c r="B609" s="80" t="s">
        <v>544</v>
      </c>
      <c r="C609" s="82">
        <f t="shared" ca="1" si="32"/>
        <v>0</v>
      </c>
      <c r="D609" s="81">
        <f t="shared" ca="1" si="27"/>
        <v>0</v>
      </c>
      <c r="E609" s="99">
        <f ca="1">VLOOKUP(B609,'Warehouse Inventory'!$I$2:$L$643,4,FALSE)</f>
        <v>0</v>
      </c>
      <c r="F609" s="108" t="str">
        <f>IFERROR(VLOOKUP(B609,'Warehouse B'!$I$2:$L$148,4,FALSE),"0")</f>
        <v>0</v>
      </c>
    </row>
    <row r="610" spans="1:6">
      <c r="A610" t="s">
        <v>545</v>
      </c>
      <c r="B610" s="80" t="s">
        <v>545</v>
      </c>
      <c r="C610" s="82">
        <f t="shared" ca="1" si="32"/>
        <v>0</v>
      </c>
      <c r="D610" s="81">
        <f t="shared" ca="1" si="27"/>
        <v>0</v>
      </c>
      <c r="E610" s="99">
        <f ca="1">VLOOKUP(B610,'Warehouse Inventory'!$I$2:$L$643,4,FALSE)</f>
        <v>0</v>
      </c>
      <c r="F610" s="108" t="str">
        <f>IFERROR(VLOOKUP(B610,'Warehouse B'!$I$2:$L$148,4,FALSE),"0")</f>
        <v>0</v>
      </c>
    </row>
    <row r="611" spans="1:6">
      <c r="A611" t="s">
        <v>546</v>
      </c>
      <c r="B611" s="80" t="s">
        <v>546</v>
      </c>
      <c r="C611" s="82">
        <f t="shared" ca="1" si="32"/>
        <v>67</v>
      </c>
      <c r="D611" s="81">
        <f t="shared" ca="1" si="27"/>
        <v>67</v>
      </c>
      <c r="E611" s="99">
        <f ca="1">VLOOKUP(B611,'Warehouse Inventory'!$I$2:$L$643,4,FALSE)</f>
        <v>14</v>
      </c>
      <c r="F611" s="108">
        <f ca="1">IFERROR(VLOOKUP(B611,'Warehouse B'!$I$2:$L$148,4,FALSE),"0")</f>
        <v>53</v>
      </c>
    </row>
    <row r="612" spans="1:6">
      <c r="A612" t="s">
        <v>547</v>
      </c>
      <c r="B612" s="80" t="s">
        <v>547</v>
      </c>
      <c r="C612" s="82">
        <f t="shared" ca="1" si="32"/>
        <v>85</v>
      </c>
      <c r="D612" s="81">
        <f t="shared" ca="1" si="27"/>
        <v>85</v>
      </c>
      <c r="E612" s="99">
        <f ca="1">VLOOKUP(B612,'Warehouse Inventory'!$I$2:$L$643,4,FALSE)</f>
        <v>33</v>
      </c>
      <c r="F612" s="108">
        <f ca="1">IFERROR(VLOOKUP(B612,'Warehouse B'!$I$2:$L$148,4,FALSE),"0")</f>
        <v>52</v>
      </c>
    </row>
    <row r="613" spans="1:6">
      <c r="A613" t="s">
        <v>548</v>
      </c>
      <c r="B613" s="80" t="s">
        <v>548</v>
      </c>
      <c r="C613" s="82">
        <f t="shared" ca="1" si="32"/>
        <v>74</v>
      </c>
      <c r="D613" s="81">
        <f t="shared" ca="1" si="27"/>
        <v>74</v>
      </c>
      <c r="E613" s="99">
        <f ca="1">VLOOKUP(B613,'Warehouse Inventory'!$I$2:$L$643,4,FALSE)</f>
        <v>43</v>
      </c>
      <c r="F613" s="108">
        <f ca="1">IFERROR(VLOOKUP(B613,'Warehouse B'!$I$2:$L$148,4,FALSE),"0")</f>
        <v>31</v>
      </c>
    </row>
    <row r="614" spans="1:6">
      <c r="A614" t="s">
        <v>549</v>
      </c>
      <c r="B614" s="80" t="s">
        <v>549</v>
      </c>
      <c r="C614" s="82">
        <f t="shared" ca="1" si="32"/>
        <v>125</v>
      </c>
      <c r="D614" s="81">
        <f t="shared" ca="1" si="27"/>
        <v>125</v>
      </c>
      <c r="E614" s="99">
        <f ca="1">VLOOKUP(B614,'Warehouse Inventory'!$I$2:$L$643,4,FALSE)</f>
        <v>63</v>
      </c>
      <c r="F614" s="108">
        <f ca="1">IFERROR(VLOOKUP(B614,'Warehouse B'!$I$2:$L$148,4,FALSE),"0")</f>
        <v>62</v>
      </c>
    </row>
    <row r="615" spans="1:6">
      <c r="A615" t="s">
        <v>550</v>
      </c>
      <c r="B615" s="80" t="s">
        <v>550</v>
      </c>
      <c r="C615" s="82">
        <f t="shared" ca="1" si="32"/>
        <v>79</v>
      </c>
      <c r="D615" s="81">
        <f t="shared" ca="1" si="27"/>
        <v>79</v>
      </c>
      <c r="E615" s="99">
        <f ca="1">VLOOKUP(B615,'Warehouse Inventory'!$I$2:$L$643,4,FALSE)</f>
        <v>32</v>
      </c>
      <c r="F615" s="108">
        <f ca="1">IFERROR(VLOOKUP(B615,'Warehouse B'!$I$2:$L$148,4,FALSE),"0")</f>
        <v>47</v>
      </c>
    </row>
    <row r="616" spans="1:6">
      <c r="A616" t="s">
        <v>551</v>
      </c>
      <c r="B616" s="80" t="s">
        <v>551</v>
      </c>
      <c r="C616" s="82">
        <f t="shared" ca="1" si="32"/>
        <v>130</v>
      </c>
      <c r="D616" s="81">
        <f t="shared" ca="1" si="27"/>
        <v>130</v>
      </c>
      <c r="E616" s="99">
        <f ca="1">VLOOKUP(B616,'Warehouse Inventory'!$I$2:$L$643,4,FALSE)</f>
        <v>69</v>
      </c>
      <c r="F616" s="108">
        <f ca="1">IFERROR(VLOOKUP(B616,'Warehouse B'!$I$2:$L$148,4,FALSE),"0")</f>
        <v>61</v>
      </c>
    </row>
    <row r="617" spans="1:6">
      <c r="A617" t="s">
        <v>552</v>
      </c>
      <c r="B617" s="80" t="s">
        <v>552</v>
      </c>
      <c r="C617" s="82">
        <f t="shared" ca="1" si="32"/>
        <v>0</v>
      </c>
      <c r="D617" s="81">
        <f t="shared" ca="1" si="27"/>
        <v>0</v>
      </c>
      <c r="E617" s="99">
        <f ca="1">VLOOKUP(B617,'Warehouse Inventory'!$I$2:$L$643,4,FALSE)</f>
        <v>0</v>
      </c>
      <c r="F617" s="108" t="str">
        <f>IFERROR(VLOOKUP(B617,'Warehouse B'!$I$2:$L$148,4,FALSE),"0")</f>
        <v>0</v>
      </c>
    </row>
    <row r="618" spans="1:6" s="99" customFormat="1">
      <c r="A618" s="109" t="s">
        <v>809</v>
      </c>
      <c r="B618" s="109" t="s">
        <v>809</v>
      </c>
      <c r="C618" s="82">
        <f t="shared" ref="C618" ca="1" si="33">D618</f>
        <v>11</v>
      </c>
      <c r="D618" s="81">
        <f t="shared" ref="D618" ca="1" si="34">E618+F618</f>
        <v>11</v>
      </c>
      <c r="E618" s="99">
        <f ca="1">VLOOKUP(B618,'Warehouse Inventory'!$I$2:$L$643,4,FALSE)</f>
        <v>-4</v>
      </c>
      <c r="F618" s="108">
        <f ca="1">IFERROR(VLOOKUP(B618,'Warehouse B'!$I$2:$L$148,4,FALSE),"0")</f>
        <v>15</v>
      </c>
    </row>
    <row r="619" spans="1:6">
      <c r="A619" t="s">
        <v>553</v>
      </c>
      <c r="B619" s="80" t="s">
        <v>553</v>
      </c>
      <c r="C619" s="82">
        <f t="shared" ca="1" si="32"/>
        <v>0</v>
      </c>
      <c r="D619" s="81">
        <f t="shared" ca="1" si="27"/>
        <v>0</v>
      </c>
      <c r="E619" s="99">
        <f ca="1">VLOOKUP(B619,'Warehouse Inventory'!$I$2:$L$643,4,FALSE)</f>
        <v>0</v>
      </c>
      <c r="F619" s="108" t="str">
        <f>IFERROR(VLOOKUP(B619,'Warehouse B'!$I$2:$L$148,4,FALSE),"0")</f>
        <v>0</v>
      </c>
    </row>
    <row r="620" spans="1:6">
      <c r="A620" t="s">
        <v>554</v>
      </c>
      <c r="B620" s="80" t="s">
        <v>554</v>
      </c>
      <c r="C620" s="82">
        <f t="shared" ca="1" si="32"/>
        <v>53</v>
      </c>
      <c r="D620" s="81">
        <f t="shared" ca="1" si="27"/>
        <v>53</v>
      </c>
      <c r="E620" s="99">
        <f ca="1">VLOOKUP(B620,'Warehouse Inventory'!$I$2:$L$643,4,FALSE)</f>
        <v>53</v>
      </c>
      <c r="F620" s="108" t="str">
        <f>IFERROR(VLOOKUP(B620,'Warehouse B'!$I$2:$L$148,4,FALSE),"0")</f>
        <v>0</v>
      </c>
    </row>
    <row r="621" spans="1:6">
      <c r="A621" t="s">
        <v>555</v>
      </c>
      <c r="B621" s="80" t="s">
        <v>555</v>
      </c>
      <c r="C621" s="82">
        <f t="shared" ca="1" si="32"/>
        <v>0</v>
      </c>
      <c r="D621" s="81">
        <f t="shared" ca="1" si="27"/>
        <v>0</v>
      </c>
      <c r="E621" s="99">
        <f ca="1">VLOOKUP(B621,'Warehouse Inventory'!$I$2:$L$643,4,FALSE)</f>
        <v>0</v>
      </c>
      <c r="F621" s="108" t="str">
        <f>IFERROR(VLOOKUP(B621,'Warehouse B'!$I$2:$L$148,4,FALSE),"0")</f>
        <v>0</v>
      </c>
    </row>
    <row r="622" spans="1:6">
      <c r="A622" t="s">
        <v>556</v>
      </c>
      <c r="B622" s="80" t="s">
        <v>556</v>
      </c>
      <c r="C622" s="82">
        <f t="shared" ca="1" si="32"/>
        <v>0</v>
      </c>
      <c r="D622" s="81">
        <f t="shared" ca="1" si="27"/>
        <v>0</v>
      </c>
      <c r="E622" s="99">
        <f ca="1">VLOOKUP(B622,'Warehouse Inventory'!$I$2:$L$643,4,FALSE)</f>
        <v>0</v>
      </c>
      <c r="F622" s="108" t="str">
        <f>IFERROR(VLOOKUP(B622,'Warehouse B'!$I$2:$L$148,4,FALSE),"0")</f>
        <v>0</v>
      </c>
    </row>
    <row r="623" spans="1:6">
      <c r="A623" t="s">
        <v>557</v>
      </c>
      <c r="B623" s="80" t="s">
        <v>557</v>
      </c>
      <c r="C623" s="82">
        <f t="shared" ca="1" si="32"/>
        <v>169</v>
      </c>
      <c r="D623" s="81">
        <f t="shared" ca="1" si="27"/>
        <v>169</v>
      </c>
      <c r="E623" s="99">
        <f ca="1">VLOOKUP(B623,'Warehouse Inventory'!$I$2:$L$643,4,FALSE)</f>
        <v>104</v>
      </c>
      <c r="F623" s="108">
        <f ca="1">IFERROR(VLOOKUP(B623,'Warehouse B'!$I$2:$L$148,4,FALSE),"0")</f>
        <v>65</v>
      </c>
    </row>
    <row r="624" spans="1:6">
      <c r="A624" t="s">
        <v>558</v>
      </c>
      <c r="B624" s="80" t="s">
        <v>558</v>
      </c>
      <c r="C624" s="82">
        <f t="shared" ca="1" si="32"/>
        <v>146</v>
      </c>
      <c r="D624" s="81">
        <f t="shared" ca="1" si="27"/>
        <v>146</v>
      </c>
      <c r="E624" s="99">
        <f ca="1">VLOOKUP(B624,'Warehouse Inventory'!$I$2:$L$643,4,FALSE)</f>
        <v>64</v>
      </c>
      <c r="F624" s="108">
        <f ca="1">IFERROR(VLOOKUP(B624,'Warehouse B'!$I$2:$L$148,4,FALSE),"0")</f>
        <v>82</v>
      </c>
    </row>
    <row r="625" spans="1:6">
      <c r="A625" t="s">
        <v>559</v>
      </c>
      <c r="B625" s="80" t="s">
        <v>559</v>
      </c>
      <c r="C625" s="82">
        <f t="shared" ca="1" si="32"/>
        <v>0</v>
      </c>
      <c r="D625" s="81">
        <f t="shared" ca="1" si="27"/>
        <v>0</v>
      </c>
      <c r="E625" s="99">
        <f ca="1">VLOOKUP(B625,'Warehouse Inventory'!$I$2:$L$643,4,FALSE)</f>
        <v>0</v>
      </c>
      <c r="F625" s="108" t="str">
        <f>IFERROR(VLOOKUP(B625,'Warehouse B'!$I$2:$L$148,4,FALSE),"0")</f>
        <v>0</v>
      </c>
    </row>
    <row r="626" spans="1:6">
      <c r="A626" t="s">
        <v>560</v>
      </c>
      <c r="B626" s="80" t="s">
        <v>560</v>
      </c>
      <c r="C626" s="82">
        <f t="shared" ca="1" si="32"/>
        <v>174</v>
      </c>
      <c r="D626" s="81">
        <f t="shared" ca="1" si="27"/>
        <v>174</v>
      </c>
      <c r="E626" s="99">
        <f ca="1">VLOOKUP(B626,'Warehouse Inventory'!$I$2:$L$643,4,FALSE)</f>
        <v>102</v>
      </c>
      <c r="F626" s="108">
        <f ca="1">IFERROR(VLOOKUP(B626,'Warehouse B'!$I$2:$L$148,4,FALSE),"0")</f>
        <v>72</v>
      </c>
    </row>
    <row r="627" spans="1:6">
      <c r="A627" t="s">
        <v>561</v>
      </c>
      <c r="B627" s="80" t="s">
        <v>561</v>
      </c>
      <c r="C627" s="82">
        <f t="shared" ca="1" si="32"/>
        <v>147</v>
      </c>
      <c r="D627" s="81">
        <f t="shared" ca="1" si="27"/>
        <v>147</v>
      </c>
      <c r="E627" s="99">
        <f ca="1">VLOOKUP(B627,'Warehouse Inventory'!$I$2:$L$643,4,FALSE)</f>
        <v>91</v>
      </c>
      <c r="F627" s="108">
        <f ca="1">IFERROR(VLOOKUP(B627,'Warehouse B'!$I$2:$L$148,4,FALSE),"0")</f>
        <v>56</v>
      </c>
    </row>
    <row r="628" spans="1:6">
      <c r="A628" t="s">
        <v>265</v>
      </c>
      <c r="B628" s="80" t="s">
        <v>265</v>
      </c>
      <c r="C628" s="82">
        <f t="shared" ca="1" si="32"/>
        <v>50</v>
      </c>
      <c r="D628" s="81">
        <f t="shared" ca="1" si="27"/>
        <v>50</v>
      </c>
      <c r="E628" s="99">
        <f ca="1">VLOOKUP(B628,'Warehouse Inventory'!$I$2:$L$643,4,FALSE)</f>
        <v>50</v>
      </c>
      <c r="F628" s="108" t="str">
        <f>IFERROR(VLOOKUP(B628,'Warehouse B'!$I$2:$L$148,4,FALSE),"0")</f>
        <v>0</v>
      </c>
    </row>
    <row r="629" spans="1:6">
      <c r="A629" t="s">
        <v>266</v>
      </c>
      <c r="B629" s="80" t="s">
        <v>266</v>
      </c>
      <c r="C629" s="82">
        <f t="shared" ca="1" si="32"/>
        <v>50</v>
      </c>
      <c r="D629" s="81">
        <f t="shared" ca="1" si="27"/>
        <v>50</v>
      </c>
      <c r="E629" s="99">
        <f ca="1">VLOOKUP(B629,'Warehouse Inventory'!$I$2:$L$643,4,FALSE)</f>
        <v>50</v>
      </c>
      <c r="F629" s="108" t="str">
        <f>IFERROR(VLOOKUP(B629,'Warehouse B'!$I$2:$L$148,4,FALSE),"0")</f>
        <v>0</v>
      </c>
    </row>
    <row r="630" spans="1:6">
      <c r="A630" t="s">
        <v>267</v>
      </c>
      <c r="B630" s="80" t="s">
        <v>267</v>
      </c>
      <c r="C630" s="82">
        <f t="shared" ca="1" si="32"/>
        <v>50</v>
      </c>
      <c r="D630" s="81">
        <f t="shared" ca="1" si="27"/>
        <v>50</v>
      </c>
      <c r="E630" s="99">
        <f ca="1">VLOOKUP(B630,'Warehouse Inventory'!$I$2:$L$643,4,FALSE)</f>
        <v>50</v>
      </c>
      <c r="F630" s="108" t="str">
        <f>IFERROR(VLOOKUP(B630,'Warehouse B'!$I$2:$L$148,4,FALSE),"0")</f>
        <v>0</v>
      </c>
    </row>
    <row r="631" spans="1:6">
      <c r="A631" t="s">
        <v>268</v>
      </c>
      <c r="B631" s="80" t="s">
        <v>268</v>
      </c>
      <c r="C631" s="82">
        <f t="shared" ca="1" si="32"/>
        <v>50</v>
      </c>
      <c r="D631" s="81">
        <f t="shared" ca="1" si="27"/>
        <v>50</v>
      </c>
      <c r="E631" s="99">
        <f ca="1">VLOOKUP(B631,'Warehouse Inventory'!$I$2:$L$643,4,FALSE)</f>
        <v>50</v>
      </c>
      <c r="F631" s="108" t="str">
        <f>IFERROR(VLOOKUP(B631,'Warehouse B'!$I$2:$L$148,4,FALSE),"0")</f>
        <v>0</v>
      </c>
    </row>
    <row r="632" spans="1:6">
      <c r="A632" t="s">
        <v>562</v>
      </c>
      <c r="B632" s="80" t="s">
        <v>562</v>
      </c>
      <c r="C632" s="82">
        <f t="shared" ca="1" si="32"/>
        <v>50</v>
      </c>
      <c r="D632" s="81">
        <f t="shared" ca="1" si="27"/>
        <v>50</v>
      </c>
      <c r="E632" s="99">
        <f ca="1">VLOOKUP(B632,'Warehouse Inventory'!$I$2:$L$643,4,FALSE)</f>
        <v>50</v>
      </c>
      <c r="F632" s="108" t="str">
        <f>IFERROR(VLOOKUP(B632,'Warehouse B'!$I$2:$L$148,4,FALSE),"0")</f>
        <v>0</v>
      </c>
    </row>
    <row r="633" spans="1:6">
      <c r="A633" t="s">
        <v>563</v>
      </c>
      <c r="B633" s="80" t="s">
        <v>563</v>
      </c>
      <c r="C633" s="82">
        <f t="shared" ca="1" si="32"/>
        <v>50</v>
      </c>
      <c r="D633" s="81">
        <f t="shared" ca="1" si="27"/>
        <v>50</v>
      </c>
      <c r="E633" s="99">
        <f ca="1">VLOOKUP(B633,'Warehouse Inventory'!$I$2:$L$643,4,FALSE)</f>
        <v>50</v>
      </c>
      <c r="F633" s="108" t="str">
        <f>IFERROR(VLOOKUP(B633,'Warehouse B'!$I$2:$L$148,4,FALSE),"0")</f>
        <v>0</v>
      </c>
    </row>
    <row r="634" spans="1:6">
      <c r="A634" t="s">
        <v>678</v>
      </c>
      <c r="B634" s="80" t="s">
        <v>678</v>
      </c>
      <c r="C634" s="82">
        <f t="shared" ca="1" si="32"/>
        <v>50</v>
      </c>
      <c r="D634" s="81">
        <f t="shared" ca="1" si="27"/>
        <v>50</v>
      </c>
      <c r="E634" s="99">
        <f ca="1">VLOOKUP(B634,'Warehouse Inventory'!$I$2:$L$643,4,FALSE)</f>
        <v>50</v>
      </c>
      <c r="F634" s="108" t="str">
        <f>IFERROR(VLOOKUP(B634,'Warehouse B'!$I$2:$L$148,4,FALSE),"0")</f>
        <v>0</v>
      </c>
    </row>
    <row r="635" spans="1:6">
      <c r="A635" t="s">
        <v>269</v>
      </c>
      <c r="B635" s="80" t="s">
        <v>269</v>
      </c>
      <c r="C635" s="82">
        <f t="shared" ca="1" si="32"/>
        <v>50</v>
      </c>
      <c r="D635" s="81">
        <f t="shared" ca="1" si="27"/>
        <v>50</v>
      </c>
      <c r="E635" s="99">
        <f ca="1">VLOOKUP(B635,'Warehouse Inventory'!$I$2:$L$643,4,FALSE)</f>
        <v>50</v>
      </c>
      <c r="F635" s="108" t="str">
        <f>IFERROR(VLOOKUP(B635,'Warehouse B'!$I$2:$L$148,4,FALSE),"0")</f>
        <v>0</v>
      </c>
    </row>
    <row r="636" spans="1:6">
      <c r="A636" t="s">
        <v>270</v>
      </c>
      <c r="B636" s="80" t="s">
        <v>270</v>
      </c>
      <c r="C636" s="82">
        <f t="shared" ca="1" si="32"/>
        <v>50</v>
      </c>
      <c r="D636" s="81">
        <f t="shared" ca="1" si="27"/>
        <v>50</v>
      </c>
      <c r="E636" s="99">
        <f ca="1">VLOOKUP(B636,'Warehouse Inventory'!$I$2:$L$643,4,FALSE)</f>
        <v>50</v>
      </c>
      <c r="F636" s="108" t="str">
        <f>IFERROR(VLOOKUP(B636,'Warehouse B'!$I$2:$L$148,4,FALSE),"0")</f>
        <v>0</v>
      </c>
    </row>
    <row r="637" spans="1:6">
      <c r="A637" t="s">
        <v>271</v>
      </c>
      <c r="B637" s="80" t="s">
        <v>271</v>
      </c>
      <c r="C637" s="82">
        <f t="shared" ca="1" si="32"/>
        <v>50</v>
      </c>
      <c r="D637" s="81">
        <f t="shared" ca="1" si="27"/>
        <v>50</v>
      </c>
      <c r="E637" s="99">
        <f ca="1">VLOOKUP(B637,'Warehouse Inventory'!$I$2:$L$643,4,FALSE)</f>
        <v>50</v>
      </c>
      <c r="F637" s="108" t="str">
        <f>IFERROR(VLOOKUP(B637,'Warehouse B'!$I$2:$L$148,4,FALSE),"0")</f>
        <v>0</v>
      </c>
    </row>
    <row r="638" spans="1:6">
      <c r="A638" t="s">
        <v>564</v>
      </c>
      <c r="B638" s="80" t="s">
        <v>564</v>
      </c>
      <c r="C638" s="82">
        <f t="shared" ca="1" si="32"/>
        <v>50</v>
      </c>
      <c r="D638" s="81">
        <f t="shared" ca="1" si="27"/>
        <v>50</v>
      </c>
      <c r="E638" s="99">
        <f ca="1">VLOOKUP(B638,'Warehouse Inventory'!$I$2:$L$643,4,FALSE)</f>
        <v>50</v>
      </c>
      <c r="F638" s="108" t="str">
        <f>IFERROR(VLOOKUP(B638,'Warehouse B'!$I$2:$L$148,4,FALSE),"0")</f>
        <v>0</v>
      </c>
    </row>
    <row r="639" spans="1:6">
      <c r="A639" t="s">
        <v>272</v>
      </c>
      <c r="B639" s="80" t="s">
        <v>272</v>
      </c>
      <c r="C639" s="82">
        <f t="shared" ca="1" si="32"/>
        <v>50</v>
      </c>
      <c r="D639" s="81">
        <f t="shared" ca="1" si="27"/>
        <v>50</v>
      </c>
      <c r="E639" s="99">
        <f ca="1">VLOOKUP(B639,'Warehouse Inventory'!$I$2:$L$643,4,FALSE)</f>
        <v>50</v>
      </c>
      <c r="F639" s="108" t="str">
        <f>IFERROR(VLOOKUP(B639,'Warehouse B'!$I$2:$L$148,4,FALSE),"0")</f>
        <v>0</v>
      </c>
    </row>
    <row r="640" spans="1:6">
      <c r="A640" t="s">
        <v>273</v>
      </c>
      <c r="B640" s="80" t="s">
        <v>273</v>
      </c>
      <c r="C640" s="82">
        <f t="shared" ca="1" si="32"/>
        <v>50</v>
      </c>
      <c r="D640" s="81">
        <f t="shared" ca="1" si="27"/>
        <v>50</v>
      </c>
      <c r="E640" s="99">
        <f ca="1">VLOOKUP(B640,'Warehouse Inventory'!$I$2:$L$643,4,FALSE)</f>
        <v>50</v>
      </c>
      <c r="F640" s="108" t="str">
        <f>IFERROR(VLOOKUP(B640,'Warehouse B'!$I$2:$L$148,4,FALSE),"0")</f>
        <v>0</v>
      </c>
    </row>
    <row r="641" spans="1:6">
      <c r="A641" t="s">
        <v>274</v>
      </c>
      <c r="B641" s="80" t="s">
        <v>274</v>
      </c>
      <c r="C641" s="82">
        <f t="shared" ca="1" si="32"/>
        <v>50</v>
      </c>
      <c r="D641" s="81">
        <f t="shared" ca="1" si="27"/>
        <v>50</v>
      </c>
      <c r="E641" s="99">
        <f ca="1">VLOOKUP(B641,'Warehouse Inventory'!$I$2:$L$643,4,FALSE)</f>
        <v>50</v>
      </c>
      <c r="F641" s="108" t="str">
        <f>IFERROR(VLOOKUP(B641,'Warehouse B'!$I$2:$L$148,4,FALSE),"0")</f>
        <v>0</v>
      </c>
    </row>
    <row r="642" spans="1:6">
      <c r="A642" t="s">
        <v>275</v>
      </c>
      <c r="B642" s="80" t="s">
        <v>275</v>
      </c>
      <c r="C642" s="82">
        <f t="shared" ca="1" si="32"/>
        <v>50</v>
      </c>
      <c r="D642" s="81">
        <f t="shared" ca="1" si="27"/>
        <v>50</v>
      </c>
      <c r="E642" s="99">
        <f ca="1">VLOOKUP(B642,'Warehouse Inventory'!$I$2:$L$643,4,FALSE)</f>
        <v>50</v>
      </c>
      <c r="F642" s="108" t="str">
        <f>IFERROR(VLOOKUP(B642,'Warehouse B'!$I$2:$L$148,4,FALSE),"0")</f>
        <v>0</v>
      </c>
    </row>
    <row r="643" spans="1:6">
      <c r="A643"/>
      <c r="B643"/>
    </row>
    <row r="644" spans="1:6">
      <c r="A644"/>
      <c r="B644"/>
    </row>
  </sheetData>
  <autoFilter ref="A4:G644"/>
  <sortState ref="A2:G632">
    <sortCondition ref="A1"/>
  </sortState>
  <mergeCells count="1">
    <mergeCell ref="A1:G3"/>
  </mergeCells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639"/>
  <sheetViews>
    <sheetView tabSelected="1" workbookViewId="0">
      <selection activeCell="B2" sqref="B2"/>
    </sheetView>
  </sheetViews>
  <sheetFormatPr defaultRowHeight="15"/>
  <cols>
    <col min="1" max="1" width="27.7109375" customWidth="1"/>
  </cols>
  <sheetData>
    <row r="1" spans="1:2">
      <c r="A1" s="21" t="s">
        <v>19</v>
      </c>
      <c r="B1" s="21" t="s">
        <v>3</v>
      </c>
    </row>
    <row r="2" spans="1:2">
      <c r="A2" t="s">
        <v>71</v>
      </c>
      <c r="B2">
        <v>19</v>
      </c>
    </row>
    <row r="3" spans="1:2">
      <c r="A3" t="s">
        <v>8</v>
      </c>
      <c r="B3">
        <v>22</v>
      </c>
    </row>
    <row r="4" spans="1:2">
      <c r="A4" t="s">
        <v>803</v>
      </c>
      <c r="B4">
        <v>19</v>
      </c>
    </row>
    <row r="5" spans="1:2">
      <c r="A5" t="s">
        <v>17</v>
      </c>
      <c r="B5">
        <v>17</v>
      </c>
    </row>
    <row r="6" spans="1:2">
      <c r="A6" t="s">
        <v>692</v>
      </c>
      <c r="B6">
        <v>45</v>
      </c>
    </row>
    <row r="7" spans="1:2">
      <c r="A7" t="s">
        <v>18</v>
      </c>
      <c r="B7">
        <v>52</v>
      </c>
    </row>
    <row r="8" spans="1:2">
      <c r="A8" t="s">
        <v>67</v>
      </c>
      <c r="B8">
        <v>49</v>
      </c>
    </row>
    <row r="9" spans="1:2">
      <c r="A9" t="s">
        <v>280</v>
      </c>
      <c r="B9">
        <v>33</v>
      </c>
    </row>
    <row r="10" spans="1:2">
      <c r="A10" t="s">
        <v>281</v>
      </c>
      <c r="B10">
        <v>11</v>
      </c>
    </row>
    <row r="11" spans="1:2">
      <c r="A11" t="s">
        <v>36</v>
      </c>
      <c r="B11">
        <v>67</v>
      </c>
    </row>
    <row r="12" spans="1:2">
      <c r="A12" t="s">
        <v>41</v>
      </c>
      <c r="B12">
        <v>22</v>
      </c>
    </row>
    <row r="13" spans="1:2">
      <c r="A13" t="s">
        <v>27</v>
      </c>
      <c r="B13">
        <v>3</v>
      </c>
    </row>
    <row r="14" spans="1:2">
      <c r="A14" t="s">
        <v>54</v>
      </c>
      <c r="B14">
        <v>13</v>
      </c>
    </row>
    <row r="15" spans="1:2">
      <c r="A15" t="s">
        <v>68</v>
      </c>
      <c r="B15">
        <v>22</v>
      </c>
    </row>
    <row r="16" spans="1:2">
      <c r="A16" t="s">
        <v>20</v>
      </c>
      <c r="B16">
        <v>2</v>
      </c>
    </row>
    <row r="17" spans="1:2">
      <c r="A17" t="s">
        <v>72</v>
      </c>
      <c r="B17">
        <v>60</v>
      </c>
    </row>
    <row r="18" spans="1:2">
      <c r="A18" t="s">
        <v>73</v>
      </c>
      <c r="B18">
        <v>0</v>
      </c>
    </row>
    <row r="19" spans="1:2">
      <c r="A19" t="s">
        <v>764</v>
      </c>
      <c r="B19">
        <v>3</v>
      </c>
    </row>
    <row r="20" spans="1:2">
      <c r="A20" t="s">
        <v>792</v>
      </c>
      <c r="B20">
        <v>0</v>
      </c>
    </row>
    <row r="21" spans="1:2">
      <c r="A21" t="s">
        <v>70</v>
      </c>
      <c r="B21">
        <v>2</v>
      </c>
    </row>
    <row r="22" spans="1:2">
      <c r="A22" t="s">
        <v>282</v>
      </c>
      <c r="B22">
        <v>23</v>
      </c>
    </row>
    <row r="23" spans="1:2">
      <c r="A23" t="s">
        <v>283</v>
      </c>
      <c r="B23">
        <v>0</v>
      </c>
    </row>
    <row r="24" spans="1:2">
      <c r="A24" t="s">
        <v>284</v>
      </c>
      <c r="B24">
        <v>0</v>
      </c>
    </row>
    <row r="25" spans="1:2">
      <c r="A25" t="s">
        <v>285</v>
      </c>
      <c r="B25">
        <v>11</v>
      </c>
    </row>
    <row r="26" spans="1:2">
      <c r="A26" t="s">
        <v>708</v>
      </c>
      <c r="B26">
        <v>0</v>
      </c>
    </row>
    <row r="27" spans="1:2">
      <c r="A27" t="s">
        <v>709</v>
      </c>
      <c r="B27">
        <v>0</v>
      </c>
    </row>
    <row r="28" spans="1:2">
      <c r="A28" t="s">
        <v>74</v>
      </c>
      <c r="B28">
        <v>0</v>
      </c>
    </row>
    <row r="29" spans="1:2">
      <c r="A29" t="s">
        <v>286</v>
      </c>
      <c r="B29">
        <v>0</v>
      </c>
    </row>
    <row r="30" spans="1:2">
      <c r="A30" t="s">
        <v>710</v>
      </c>
      <c r="B30">
        <v>0</v>
      </c>
    </row>
    <row r="31" spans="1:2">
      <c r="A31" t="s">
        <v>75</v>
      </c>
      <c r="B31">
        <v>0</v>
      </c>
    </row>
    <row r="32" spans="1:2">
      <c r="A32" t="s">
        <v>76</v>
      </c>
      <c r="B32">
        <v>0</v>
      </c>
    </row>
    <row r="33" spans="1:2">
      <c r="A33" t="s">
        <v>287</v>
      </c>
      <c r="B33">
        <v>0</v>
      </c>
    </row>
    <row r="34" spans="1:2">
      <c r="A34" t="s">
        <v>288</v>
      </c>
      <c r="B34">
        <v>3</v>
      </c>
    </row>
    <row r="35" spans="1:2">
      <c r="A35" t="s">
        <v>289</v>
      </c>
      <c r="B35">
        <v>6</v>
      </c>
    </row>
    <row r="36" spans="1:2">
      <c r="A36" t="s">
        <v>290</v>
      </c>
      <c r="B36">
        <v>2</v>
      </c>
    </row>
    <row r="37" spans="1:2">
      <c r="A37" t="s">
        <v>291</v>
      </c>
      <c r="B37">
        <v>0</v>
      </c>
    </row>
    <row r="38" spans="1:2">
      <c r="A38" t="s">
        <v>292</v>
      </c>
      <c r="B38">
        <v>3</v>
      </c>
    </row>
    <row r="39" spans="1:2">
      <c r="A39" t="s">
        <v>293</v>
      </c>
      <c r="B39">
        <v>64</v>
      </c>
    </row>
    <row r="40" spans="1:2">
      <c r="A40" t="s">
        <v>294</v>
      </c>
      <c r="B40">
        <v>27</v>
      </c>
    </row>
    <row r="41" spans="1:2">
      <c r="A41" t="s">
        <v>295</v>
      </c>
      <c r="B41">
        <v>9</v>
      </c>
    </row>
    <row r="42" spans="1:2">
      <c r="A42" t="s">
        <v>296</v>
      </c>
      <c r="B42">
        <v>46</v>
      </c>
    </row>
    <row r="43" spans="1:2">
      <c r="A43" t="s">
        <v>817</v>
      </c>
      <c r="B43">
        <v>14</v>
      </c>
    </row>
    <row r="44" spans="1:2">
      <c r="A44" t="s">
        <v>818</v>
      </c>
      <c r="B44">
        <v>17</v>
      </c>
    </row>
    <row r="45" spans="1:2">
      <c r="A45" t="s">
        <v>297</v>
      </c>
      <c r="B45">
        <v>4</v>
      </c>
    </row>
    <row r="46" spans="1:2">
      <c r="A46" t="s">
        <v>276</v>
      </c>
      <c r="B46">
        <v>79</v>
      </c>
    </row>
    <row r="47" spans="1:2">
      <c r="A47" t="s">
        <v>299</v>
      </c>
      <c r="B47">
        <v>17</v>
      </c>
    </row>
    <row r="48" spans="1:2">
      <c r="A48" t="s">
        <v>300</v>
      </c>
      <c r="B48">
        <v>0</v>
      </c>
    </row>
    <row r="49" spans="1:2">
      <c r="A49" t="s">
        <v>301</v>
      </c>
      <c r="B49">
        <v>0</v>
      </c>
    </row>
    <row r="50" spans="1:2">
      <c r="A50" t="s">
        <v>302</v>
      </c>
      <c r="B50">
        <v>3</v>
      </c>
    </row>
    <row r="51" spans="1:2">
      <c r="A51" t="s">
        <v>303</v>
      </c>
      <c r="B51">
        <v>0</v>
      </c>
    </row>
    <row r="52" spans="1:2">
      <c r="A52" t="s">
        <v>304</v>
      </c>
      <c r="B52">
        <v>7</v>
      </c>
    </row>
    <row r="53" spans="1:2">
      <c r="A53" t="s">
        <v>305</v>
      </c>
      <c r="B53">
        <v>0</v>
      </c>
    </row>
    <row r="54" spans="1:2">
      <c r="A54" t="s">
        <v>9</v>
      </c>
      <c r="B54">
        <v>0</v>
      </c>
    </row>
    <row r="55" spans="1:2">
      <c r="A55" t="s">
        <v>277</v>
      </c>
      <c r="B55">
        <v>1</v>
      </c>
    </row>
    <row r="56" spans="1:2">
      <c r="A56" t="s">
        <v>694</v>
      </c>
      <c r="B56">
        <v>21</v>
      </c>
    </row>
    <row r="57" spans="1:2">
      <c r="A57" t="s">
        <v>77</v>
      </c>
      <c r="B57">
        <v>39</v>
      </c>
    </row>
    <row r="58" spans="1:2">
      <c r="A58" t="s">
        <v>711</v>
      </c>
      <c r="B58">
        <v>0</v>
      </c>
    </row>
    <row r="59" spans="1:2">
      <c r="A59" t="s">
        <v>712</v>
      </c>
      <c r="B59">
        <v>0</v>
      </c>
    </row>
    <row r="60" spans="1:2">
      <c r="A60" t="s">
        <v>713</v>
      </c>
      <c r="B60">
        <v>0</v>
      </c>
    </row>
    <row r="61" spans="1:2">
      <c r="A61" t="s">
        <v>307</v>
      </c>
      <c r="B61">
        <v>1</v>
      </c>
    </row>
    <row r="62" spans="1:2">
      <c r="A62" t="s">
        <v>308</v>
      </c>
      <c r="B62">
        <v>2</v>
      </c>
    </row>
    <row r="63" spans="1:2">
      <c r="A63" t="s">
        <v>714</v>
      </c>
      <c r="B63">
        <v>0</v>
      </c>
    </row>
    <row r="64" spans="1:2">
      <c r="A64" t="s">
        <v>700</v>
      </c>
      <c r="B64">
        <v>0</v>
      </c>
    </row>
    <row r="65" spans="1:2">
      <c r="A65" t="s">
        <v>309</v>
      </c>
      <c r="B65">
        <v>0</v>
      </c>
    </row>
    <row r="66" spans="1:2">
      <c r="A66" t="s">
        <v>310</v>
      </c>
      <c r="B66">
        <v>1</v>
      </c>
    </row>
    <row r="67" spans="1:2">
      <c r="A67" t="s">
        <v>311</v>
      </c>
      <c r="B67">
        <v>0</v>
      </c>
    </row>
    <row r="68" spans="1:2">
      <c r="A68" t="s">
        <v>312</v>
      </c>
      <c r="B68">
        <v>0</v>
      </c>
    </row>
    <row r="69" spans="1:2">
      <c r="A69" t="s">
        <v>313</v>
      </c>
      <c r="B69">
        <v>0</v>
      </c>
    </row>
    <row r="70" spans="1:2">
      <c r="A70" t="s">
        <v>314</v>
      </c>
      <c r="B70">
        <v>0</v>
      </c>
    </row>
    <row r="71" spans="1:2">
      <c r="A71" t="s">
        <v>706</v>
      </c>
      <c r="B71">
        <v>4</v>
      </c>
    </row>
    <row r="72" spans="1:2">
      <c r="A72" t="s">
        <v>315</v>
      </c>
      <c r="B72">
        <v>0</v>
      </c>
    </row>
    <row r="73" spans="1:2">
      <c r="A73" t="s">
        <v>316</v>
      </c>
      <c r="B73">
        <v>4</v>
      </c>
    </row>
    <row r="74" spans="1:2">
      <c r="A74" t="s">
        <v>317</v>
      </c>
      <c r="B74">
        <v>4</v>
      </c>
    </row>
    <row r="75" spans="1:2">
      <c r="A75" t="s">
        <v>1</v>
      </c>
      <c r="B75">
        <v>4</v>
      </c>
    </row>
    <row r="76" spans="1:2">
      <c r="A76" t="s">
        <v>318</v>
      </c>
      <c r="B76">
        <v>16</v>
      </c>
    </row>
    <row r="77" spans="1:2">
      <c r="A77" t="s">
        <v>319</v>
      </c>
      <c r="B77">
        <v>16</v>
      </c>
    </row>
    <row r="78" spans="1:2">
      <c r="A78" t="s">
        <v>320</v>
      </c>
      <c r="B78">
        <v>16</v>
      </c>
    </row>
    <row r="79" spans="1:2">
      <c r="A79" t="s">
        <v>278</v>
      </c>
      <c r="B79">
        <v>16</v>
      </c>
    </row>
    <row r="80" spans="1:2">
      <c r="A80" t="s">
        <v>63</v>
      </c>
      <c r="B80">
        <v>16</v>
      </c>
    </row>
    <row r="81" spans="1:2">
      <c r="A81" t="s">
        <v>64</v>
      </c>
      <c r="B81">
        <v>16</v>
      </c>
    </row>
    <row r="82" spans="1:2">
      <c r="A82" t="s">
        <v>321</v>
      </c>
      <c r="B82">
        <v>11</v>
      </c>
    </row>
    <row r="83" spans="1:2">
      <c r="A83" t="s">
        <v>322</v>
      </c>
      <c r="B83">
        <v>0</v>
      </c>
    </row>
    <row r="84" spans="1:2">
      <c r="A84" t="s">
        <v>323</v>
      </c>
      <c r="B84">
        <v>11</v>
      </c>
    </row>
    <row r="85" spans="1:2">
      <c r="A85" t="s">
        <v>324</v>
      </c>
      <c r="B85">
        <v>0</v>
      </c>
    </row>
    <row r="86" spans="1:2">
      <c r="A86" t="s">
        <v>325</v>
      </c>
      <c r="B86">
        <v>11</v>
      </c>
    </row>
    <row r="87" spans="1:2">
      <c r="A87" t="s">
        <v>326</v>
      </c>
      <c r="B87">
        <v>0</v>
      </c>
    </row>
    <row r="88" spans="1:2">
      <c r="A88" t="s">
        <v>327</v>
      </c>
      <c r="B88">
        <v>0</v>
      </c>
    </row>
    <row r="89" spans="1:2">
      <c r="A89" t="s">
        <v>328</v>
      </c>
      <c r="B89">
        <v>0</v>
      </c>
    </row>
    <row r="90" spans="1:2">
      <c r="A90" t="s">
        <v>690</v>
      </c>
      <c r="B90">
        <v>45</v>
      </c>
    </row>
    <row r="91" spans="1:2">
      <c r="A91" t="s">
        <v>329</v>
      </c>
      <c r="B91">
        <v>0</v>
      </c>
    </row>
    <row r="92" spans="1:2">
      <c r="A92" t="s">
        <v>330</v>
      </c>
      <c r="B92">
        <v>173</v>
      </c>
    </row>
    <row r="93" spans="1:2">
      <c r="A93" t="s">
        <v>50</v>
      </c>
      <c r="B93">
        <v>78</v>
      </c>
    </row>
    <row r="94" spans="1:2">
      <c r="A94" t="s">
        <v>51</v>
      </c>
      <c r="B94">
        <v>0</v>
      </c>
    </row>
    <row r="95" spans="1:2">
      <c r="A95" t="s">
        <v>52</v>
      </c>
      <c r="B95">
        <v>58</v>
      </c>
    </row>
    <row r="96" spans="1:2">
      <c r="A96" t="s">
        <v>78</v>
      </c>
      <c r="B96">
        <v>99</v>
      </c>
    </row>
    <row r="97" spans="1:2">
      <c r="A97" t="s">
        <v>79</v>
      </c>
      <c r="B97">
        <v>99</v>
      </c>
    </row>
    <row r="98" spans="1:2">
      <c r="A98" t="s">
        <v>80</v>
      </c>
      <c r="B98">
        <v>5</v>
      </c>
    </row>
    <row r="99" spans="1:2">
      <c r="A99" t="s">
        <v>10</v>
      </c>
      <c r="B99">
        <v>0</v>
      </c>
    </row>
    <row r="100" spans="1:2">
      <c r="A100" t="s">
        <v>81</v>
      </c>
      <c r="B100">
        <v>10</v>
      </c>
    </row>
    <row r="101" spans="1:2">
      <c r="A101" t="s">
        <v>679</v>
      </c>
      <c r="B101">
        <v>10</v>
      </c>
    </row>
    <row r="102" spans="1:2">
      <c r="A102" t="s">
        <v>331</v>
      </c>
      <c r="B102">
        <v>0</v>
      </c>
    </row>
    <row r="103" spans="1:2">
      <c r="A103" t="s">
        <v>696</v>
      </c>
      <c r="B103">
        <v>0</v>
      </c>
    </row>
    <row r="104" spans="1:2">
      <c r="A104" t="s">
        <v>11</v>
      </c>
      <c r="B104">
        <v>92</v>
      </c>
    </row>
    <row r="105" spans="1:2">
      <c r="A105" t="s">
        <v>332</v>
      </c>
      <c r="B105">
        <v>3</v>
      </c>
    </row>
    <row r="106" spans="1:2">
      <c r="A106" t="s">
        <v>82</v>
      </c>
      <c r="B106">
        <v>0</v>
      </c>
    </row>
    <row r="107" spans="1:2">
      <c r="A107" t="s">
        <v>333</v>
      </c>
      <c r="B107">
        <v>1</v>
      </c>
    </row>
    <row r="108" spans="1:2">
      <c r="A108" t="s">
        <v>25</v>
      </c>
      <c r="B108">
        <v>0</v>
      </c>
    </row>
    <row r="109" spans="1:2">
      <c r="A109" t="s">
        <v>66</v>
      </c>
      <c r="B109">
        <v>10</v>
      </c>
    </row>
    <row r="110" spans="1:2">
      <c r="A110" t="s">
        <v>83</v>
      </c>
      <c r="B110">
        <v>0</v>
      </c>
    </row>
    <row r="111" spans="1:2">
      <c r="A111" t="s">
        <v>84</v>
      </c>
      <c r="B111">
        <v>0</v>
      </c>
    </row>
    <row r="112" spans="1:2">
      <c r="A112" t="s">
        <v>334</v>
      </c>
      <c r="B112">
        <v>1</v>
      </c>
    </row>
    <row r="113" spans="1:2">
      <c r="A113" t="s">
        <v>335</v>
      </c>
      <c r="B113">
        <v>16</v>
      </c>
    </row>
    <row r="114" spans="1:2">
      <c r="A114" t="s">
        <v>336</v>
      </c>
      <c r="B114">
        <v>28.799999999999997</v>
      </c>
    </row>
    <row r="115" spans="1:2">
      <c r="A115" t="s">
        <v>85</v>
      </c>
      <c r="B115">
        <v>14</v>
      </c>
    </row>
    <row r="116" spans="1:2">
      <c r="A116" t="s">
        <v>86</v>
      </c>
      <c r="B116">
        <v>7</v>
      </c>
    </row>
    <row r="117" spans="1:2">
      <c r="A117" t="s">
        <v>87</v>
      </c>
      <c r="B117">
        <v>4</v>
      </c>
    </row>
    <row r="118" spans="1:2">
      <c r="A118" t="s">
        <v>337</v>
      </c>
      <c r="B118">
        <v>0</v>
      </c>
    </row>
    <row r="119" spans="1:2">
      <c r="A119" t="s">
        <v>88</v>
      </c>
      <c r="B119">
        <v>0</v>
      </c>
    </row>
    <row r="120" spans="1:2">
      <c r="A120" t="s">
        <v>89</v>
      </c>
      <c r="B120">
        <v>0</v>
      </c>
    </row>
    <row r="121" spans="1:2">
      <c r="A121" t="s">
        <v>90</v>
      </c>
      <c r="B121">
        <v>0</v>
      </c>
    </row>
    <row r="122" spans="1:2">
      <c r="A122" t="s">
        <v>91</v>
      </c>
      <c r="B122">
        <v>0</v>
      </c>
    </row>
    <row r="123" spans="1:2">
      <c r="A123" t="s">
        <v>92</v>
      </c>
      <c r="B123">
        <v>0</v>
      </c>
    </row>
    <row r="124" spans="1:2">
      <c r="A124" t="s">
        <v>0</v>
      </c>
      <c r="B124">
        <v>4</v>
      </c>
    </row>
    <row r="125" spans="1:2">
      <c r="A125" t="s">
        <v>93</v>
      </c>
      <c r="B125">
        <v>4</v>
      </c>
    </row>
    <row r="126" spans="1:2">
      <c r="A126" t="s">
        <v>94</v>
      </c>
      <c r="B126">
        <v>4</v>
      </c>
    </row>
    <row r="127" spans="1:2">
      <c r="A127" t="s">
        <v>12</v>
      </c>
      <c r="B127">
        <v>13</v>
      </c>
    </row>
    <row r="128" spans="1:2">
      <c r="A128" t="s">
        <v>715</v>
      </c>
      <c r="B128">
        <v>0</v>
      </c>
    </row>
    <row r="129" spans="1:2">
      <c r="A129" t="s">
        <v>769</v>
      </c>
      <c r="B129">
        <v>11</v>
      </c>
    </row>
    <row r="130" spans="1:2">
      <c r="A130" t="s">
        <v>338</v>
      </c>
      <c r="B130">
        <v>11</v>
      </c>
    </row>
    <row r="131" spans="1:2">
      <c r="A131" t="s">
        <v>339</v>
      </c>
      <c r="B131">
        <v>0</v>
      </c>
    </row>
    <row r="132" spans="1:2">
      <c r="A132" t="s">
        <v>340</v>
      </c>
      <c r="B132">
        <v>0</v>
      </c>
    </row>
    <row r="133" spans="1:2">
      <c r="A133" t="s">
        <v>341</v>
      </c>
      <c r="B133">
        <v>0</v>
      </c>
    </row>
    <row r="134" spans="1:2">
      <c r="A134" t="s">
        <v>768</v>
      </c>
      <c r="B134">
        <v>11</v>
      </c>
    </row>
    <row r="135" spans="1:2">
      <c r="A135" t="s">
        <v>342</v>
      </c>
      <c r="B135">
        <v>0</v>
      </c>
    </row>
    <row r="136" spans="1:2">
      <c r="A136" t="s">
        <v>95</v>
      </c>
      <c r="B136">
        <v>1</v>
      </c>
    </row>
    <row r="137" spans="1:2">
      <c r="A137" t="s">
        <v>23</v>
      </c>
      <c r="B137">
        <v>6</v>
      </c>
    </row>
    <row r="138" spans="1:2">
      <c r="A138" t="s">
        <v>96</v>
      </c>
      <c r="B138">
        <v>1</v>
      </c>
    </row>
    <row r="139" spans="1:2">
      <c r="A139" t="s">
        <v>24</v>
      </c>
      <c r="B139">
        <v>6</v>
      </c>
    </row>
    <row r="140" spans="1:2">
      <c r="A140" t="s">
        <v>343</v>
      </c>
      <c r="B140">
        <v>16</v>
      </c>
    </row>
    <row r="141" spans="1:2">
      <c r="A141" t="s">
        <v>21</v>
      </c>
      <c r="B141">
        <v>15</v>
      </c>
    </row>
    <row r="142" spans="1:2">
      <c r="A142" t="s">
        <v>344</v>
      </c>
      <c r="B142">
        <v>16</v>
      </c>
    </row>
    <row r="143" spans="1:2">
      <c r="A143" t="s">
        <v>345</v>
      </c>
      <c r="B143">
        <v>15</v>
      </c>
    </row>
    <row r="144" spans="1:2">
      <c r="A144" t="s">
        <v>32</v>
      </c>
      <c r="B144">
        <v>0</v>
      </c>
    </row>
    <row r="145" spans="1:2">
      <c r="A145" t="s">
        <v>33</v>
      </c>
      <c r="B145">
        <v>2</v>
      </c>
    </row>
    <row r="146" spans="1:2">
      <c r="A146" t="s">
        <v>35</v>
      </c>
      <c r="B146">
        <v>0</v>
      </c>
    </row>
    <row r="147" spans="1:2">
      <c r="A147" t="s">
        <v>34</v>
      </c>
      <c r="B147">
        <v>0</v>
      </c>
    </row>
    <row r="148" spans="1:2">
      <c r="A148" t="s">
        <v>30</v>
      </c>
      <c r="B148">
        <v>0</v>
      </c>
    </row>
    <row r="149" spans="1:2">
      <c r="A149" t="s">
        <v>31</v>
      </c>
      <c r="B149">
        <v>0</v>
      </c>
    </row>
    <row r="150" spans="1:2">
      <c r="A150" t="s">
        <v>346</v>
      </c>
      <c r="B150">
        <v>74</v>
      </c>
    </row>
    <row r="151" spans="1:2">
      <c r="A151" t="s">
        <v>347</v>
      </c>
      <c r="B151">
        <v>69</v>
      </c>
    </row>
    <row r="152" spans="1:2">
      <c r="A152" t="s">
        <v>97</v>
      </c>
      <c r="B152">
        <v>10</v>
      </c>
    </row>
    <row r="153" spans="1:2">
      <c r="A153" t="s">
        <v>98</v>
      </c>
      <c r="B153">
        <v>0</v>
      </c>
    </row>
    <row r="154" spans="1:2">
      <c r="A154" t="s">
        <v>99</v>
      </c>
      <c r="B154">
        <v>0</v>
      </c>
    </row>
    <row r="155" spans="1:2">
      <c r="A155" t="s">
        <v>348</v>
      </c>
      <c r="B155">
        <v>0</v>
      </c>
    </row>
    <row r="156" spans="1:2">
      <c r="A156" t="s">
        <v>100</v>
      </c>
      <c r="B156">
        <v>10</v>
      </c>
    </row>
    <row r="157" spans="1:2">
      <c r="A157" t="s">
        <v>101</v>
      </c>
      <c r="B157">
        <v>29</v>
      </c>
    </row>
    <row r="158" spans="1:2">
      <c r="A158" t="s">
        <v>349</v>
      </c>
      <c r="B158">
        <v>10</v>
      </c>
    </row>
    <row r="159" spans="1:2">
      <c r="A159" t="s">
        <v>102</v>
      </c>
      <c r="B159">
        <v>36</v>
      </c>
    </row>
    <row r="160" spans="1:2">
      <c r="A160" t="s">
        <v>103</v>
      </c>
      <c r="B160">
        <v>18</v>
      </c>
    </row>
    <row r="161" spans="1:2">
      <c r="A161" t="s">
        <v>104</v>
      </c>
      <c r="B161">
        <v>2</v>
      </c>
    </row>
    <row r="162" spans="1:2">
      <c r="A162" t="s">
        <v>105</v>
      </c>
      <c r="B162">
        <v>1</v>
      </c>
    </row>
    <row r="163" spans="1:2">
      <c r="A163" t="s">
        <v>106</v>
      </c>
      <c r="B163">
        <v>78</v>
      </c>
    </row>
    <row r="164" spans="1:2">
      <c r="A164" t="s">
        <v>107</v>
      </c>
      <c r="B164">
        <v>39</v>
      </c>
    </row>
    <row r="165" spans="1:2">
      <c r="A165" t="s">
        <v>108</v>
      </c>
      <c r="B165">
        <v>48</v>
      </c>
    </row>
    <row r="166" spans="1:2">
      <c r="A166" t="s">
        <v>109</v>
      </c>
      <c r="B166">
        <v>24</v>
      </c>
    </row>
    <row r="167" spans="1:2">
      <c r="A167" t="s">
        <v>110</v>
      </c>
      <c r="B167">
        <v>14</v>
      </c>
    </row>
    <row r="168" spans="1:2">
      <c r="A168" t="s">
        <v>111</v>
      </c>
      <c r="B168">
        <v>7</v>
      </c>
    </row>
    <row r="169" spans="1:2">
      <c r="A169" t="s">
        <v>13</v>
      </c>
      <c r="B169">
        <v>3</v>
      </c>
    </row>
    <row r="170" spans="1:2">
      <c r="A170" t="s">
        <v>112</v>
      </c>
      <c r="B170">
        <v>106</v>
      </c>
    </row>
    <row r="171" spans="1:2">
      <c r="A171" t="s">
        <v>53</v>
      </c>
      <c r="B171">
        <v>53</v>
      </c>
    </row>
    <row r="172" spans="1:2">
      <c r="A172" t="s">
        <v>65</v>
      </c>
      <c r="B172">
        <v>26</v>
      </c>
    </row>
    <row r="173" spans="1:2">
      <c r="A173" t="s">
        <v>113</v>
      </c>
      <c r="B173">
        <v>1</v>
      </c>
    </row>
    <row r="174" spans="1:2">
      <c r="A174" t="s">
        <v>114</v>
      </c>
      <c r="B174">
        <v>0</v>
      </c>
    </row>
    <row r="175" spans="1:2">
      <c r="A175" t="s">
        <v>38</v>
      </c>
      <c r="B175">
        <v>0</v>
      </c>
    </row>
    <row r="176" spans="1:2">
      <c r="A176" t="s">
        <v>115</v>
      </c>
      <c r="B176">
        <v>0</v>
      </c>
    </row>
    <row r="177" spans="1:2">
      <c r="A177" t="s">
        <v>116</v>
      </c>
      <c r="B177">
        <v>0</v>
      </c>
    </row>
    <row r="178" spans="1:2">
      <c r="A178" t="s">
        <v>117</v>
      </c>
      <c r="B178">
        <v>0</v>
      </c>
    </row>
    <row r="179" spans="1:2">
      <c r="A179" t="s">
        <v>118</v>
      </c>
      <c r="B179">
        <v>10</v>
      </c>
    </row>
    <row r="180" spans="1:2">
      <c r="A180" t="s">
        <v>119</v>
      </c>
      <c r="B180">
        <v>5</v>
      </c>
    </row>
    <row r="181" spans="1:2">
      <c r="A181" t="s">
        <v>37</v>
      </c>
      <c r="B181">
        <v>2</v>
      </c>
    </row>
    <row r="182" spans="1:2">
      <c r="A182" t="s">
        <v>680</v>
      </c>
      <c r="B182">
        <v>10</v>
      </c>
    </row>
    <row r="183" spans="1:2">
      <c r="A183" t="s">
        <v>120</v>
      </c>
      <c r="B183">
        <v>5</v>
      </c>
    </row>
    <row r="184" spans="1:2">
      <c r="A184" t="s">
        <v>279</v>
      </c>
      <c r="B184">
        <v>2</v>
      </c>
    </row>
    <row r="185" spans="1:2">
      <c r="A185" t="s">
        <v>681</v>
      </c>
      <c r="B185">
        <v>332</v>
      </c>
    </row>
    <row r="186" spans="1:2">
      <c r="A186" t="s">
        <v>40</v>
      </c>
      <c r="B186">
        <v>166</v>
      </c>
    </row>
    <row r="187" spans="1:2">
      <c r="A187" t="s">
        <v>39</v>
      </c>
      <c r="B187">
        <v>83</v>
      </c>
    </row>
    <row r="188" spans="1:2">
      <c r="A188" t="s">
        <v>682</v>
      </c>
      <c r="B188">
        <v>0</v>
      </c>
    </row>
    <row r="189" spans="1:2">
      <c r="A189" t="s">
        <v>121</v>
      </c>
      <c r="B189">
        <v>0</v>
      </c>
    </row>
    <row r="190" spans="1:2">
      <c r="A190" t="s">
        <v>122</v>
      </c>
      <c r="B190">
        <v>0</v>
      </c>
    </row>
    <row r="191" spans="1:2">
      <c r="A191" t="s">
        <v>683</v>
      </c>
      <c r="B191">
        <v>10</v>
      </c>
    </row>
    <row r="192" spans="1:2">
      <c r="A192" t="s">
        <v>351</v>
      </c>
      <c r="B192">
        <v>5</v>
      </c>
    </row>
    <row r="193" spans="1:2">
      <c r="A193" t="s">
        <v>14</v>
      </c>
      <c r="B193">
        <v>2</v>
      </c>
    </row>
    <row r="194" spans="1:2">
      <c r="A194" t="s">
        <v>123</v>
      </c>
      <c r="B194">
        <v>18</v>
      </c>
    </row>
    <row r="195" spans="1:2">
      <c r="A195" t="s">
        <v>352</v>
      </c>
      <c r="B195">
        <v>9</v>
      </c>
    </row>
    <row r="196" spans="1:2">
      <c r="A196" t="s">
        <v>684</v>
      </c>
      <c r="B196">
        <v>4</v>
      </c>
    </row>
    <row r="197" spans="1:2">
      <c r="A197" t="s">
        <v>124</v>
      </c>
      <c r="B197">
        <v>0</v>
      </c>
    </row>
    <row r="198" spans="1:2">
      <c r="A198" t="s">
        <v>125</v>
      </c>
      <c r="B198">
        <v>0</v>
      </c>
    </row>
    <row r="199" spans="1:2">
      <c r="A199" t="s">
        <v>126</v>
      </c>
      <c r="B199">
        <v>0</v>
      </c>
    </row>
    <row r="200" spans="1:2">
      <c r="A200" t="s">
        <v>353</v>
      </c>
      <c r="B200">
        <v>0</v>
      </c>
    </row>
    <row r="201" spans="1:2">
      <c r="A201" t="s">
        <v>354</v>
      </c>
      <c r="B201">
        <v>0</v>
      </c>
    </row>
    <row r="202" spans="1:2">
      <c r="A202" t="s">
        <v>355</v>
      </c>
      <c r="B202">
        <v>0</v>
      </c>
    </row>
    <row r="203" spans="1:2">
      <c r="A203" t="s">
        <v>356</v>
      </c>
      <c r="B203">
        <v>0</v>
      </c>
    </row>
    <row r="204" spans="1:2">
      <c r="A204" t="s">
        <v>44</v>
      </c>
      <c r="B204">
        <v>11</v>
      </c>
    </row>
    <row r="205" spans="1:2">
      <c r="A205" t="s">
        <v>45</v>
      </c>
      <c r="B205">
        <v>10</v>
      </c>
    </row>
    <row r="206" spans="1:2">
      <c r="A206" t="s">
        <v>42</v>
      </c>
      <c r="B206">
        <v>24</v>
      </c>
    </row>
    <row r="207" spans="1:2">
      <c r="A207" t="s">
        <v>43</v>
      </c>
      <c r="B207">
        <v>43</v>
      </c>
    </row>
    <row r="208" spans="1:2">
      <c r="A208" t="s">
        <v>59</v>
      </c>
      <c r="B208">
        <v>2</v>
      </c>
    </row>
    <row r="209" spans="1:2">
      <c r="A209" t="s">
        <v>60</v>
      </c>
      <c r="B209">
        <v>2</v>
      </c>
    </row>
    <row r="210" spans="1:2">
      <c r="A210" t="s">
        <v>46</v>
      </c>
      <c r="B210">
        <v>0</v>
      </c>
    </row>
    <row r="211" spans="1:2">
      <c r="A211" t="s">
        <v>58</v>
      </c>
      <c r="B211">
        <v>8</v>
      </c>
    </row>
    <row r="212" spans="1:2">
      <c r="A212" t="s">
        <v>47</v>
      </c>
      <c r="B212">
        <v>77</v>
      </c>
    </row>
    <row r="213" spans="1:2">
      <c r="A213" t="s">
        <v>57</v>
      </c>
      <c r="B213">
        <v>27</v>
      </c>
    </row>
    <row r="214" spans="1:2">
      <c r="A214" t="s">
        <v>49</v>
      </c>
      <c r="B214">
        <v>20</v>
      </c>
    </row>
    <row r="215" spans="1:2">
      <c r="A215" t="s">
        <v>48</v>
      </c>
      <c r="B215">
        <v>11</v>
      </c>
    </row>
    <row r="216" spans="1:2">
      <c r="A216" t="s">
        <v>55</v>
      </c>
      <c r="B216">
        <v>48</v>
      </c>
    </row>
    <row r="217" spans="1:2">
      <c r="A217" t="s">
        <v>56</v>
      </c>
      <c r="B217">
        <v>16</v>
      </c>
    </row>
    <row r="218" spans="1:2">
      <c r="A218" t="s">
        <v>357</v>
      </c>
      <c r="B218">
        <v>69</v>
      </c>
    </row>
    <row r="219" spans="1:2">
      <c r="A219" t="s">
        <v>685</v>
      </c>
      <c r="B219">
        <v>34</v>
      </c>
    </row>
    <row r="220" spans="1:2">
      <c r="A220" t="s">
        <v>358</v>
      </c>
      <c r="B220">
        <v>13</v>
      </c>
    </row>
    <row r="221" spans="1:2">
      <c r="A221" t="s">
        <v>686</v>
      </c>
      <c r="B221">
        <v>6</v>
      </c>
    </row>
    <row r="222" spans="1:2">
      <c r="A222" t="s">
        <v>359</v>
      </c>
      <c r="B222">
        <v>1</v>
      </c>
    </row>
    <row r="223" spans="1:2">
      <c r="A223" t="s">
        <v>687</v>
      </c>
      <c r="B223">
        <v>0</v>
      </c>
    </row>
    <row r="224" spans="1:2">
      <c r="A224" t="s">
        <v>360</v>
      </c>
      <c r="B224">
        <v>1</v>
      </c>
    </row>
    <row r="225" spans="1:2">
      <c r="A225" t="s">
        <v>361</v>
      </c>
      <c r="B225">
        <v>0</v>
      </c>
    </row>
    <row r="226" spans="1:2">
      <c r="A226" t="s">
        <v>362</v>
      </c>
      <c r="B226">
        <v>10</v>
      </c>
    </row>
    <row r="227" spans="1:2">
      <c r="A227" t="s">
        <v>363</v>
      </c>
      <c r="B227">
        <v>10</v>
      </c>
    </row>
    <row r="228" spans="1:2">
      <c r="A228" t="s">
        <v>364</v>
      </c>
      <c r="B228">
        <v>0</v>
      </c>
    </row>
    <row r="229" spans="1:2">
      <c r="A229" t="s">
        <v>127</v>
      </c>
      <c r="B229">
        <v>2</v>
      </c>
    </row>
    <row r="230" spans="1:2">
      <c r="A230" t="s">
        <v>128</v>
      </c>
      <c r="B230">
        <v>1</v>
      </c>
    </row>
    <row r="231" spans="1:2">
      <c r="A231" t="s">
        <v>129</v>
      </c>
      <c r="B231">
        <v>0</v>
      </c>
    </row>
    <row r="232" spans="1:2">
      <c r="A232" t="s">
        <v>365</v>
      </c>
      <c r="B232">
        <v>0</v>
      </c>
    </row>
    <row r="233" spans="1:2">
      <c r="A233" t="s">
        <v>130</v>
      </c>
      <c r="B233">
        <v>0</v>
      </c>
    </row>
    <row r="234" spans="1:2">
      <c r="A234" t="s">
        <v>131</v>
      </c>
      <c r="B234">
        <v>0</v>
      </c>
    </row>
    <row r="235" spans="1:2">
      <c r="A235" t="s">
        <v>132</v>
      </c>
      <c r="B235">
        <v>0</v>
      </c>
    </row>
    <row r="236" spans="1:2">
      <c r="A236" t="s">
        <v>366</v>
      </c>
      <c r="B236">
        <v>0</v>
      </c>
    </row>
    <row r="237" spans="1:2">
      <c r="A237" t="s">
        <v>367</v>
      </c>
      <c r="B237">
        <v>0</v>
      </c>
    </row>
    <row r="238" spans="1:2">
      <c r="A238" t="s">
        <v>368</v>
      </c>
      <c r="B238">
        <v>0</v>
      </c>
    </row>
    <row r="239" spans="1:2">
      <c r="A239" t="s">
        <v>369</v>
      </c>
      <c r="B239">
        <v>0</v>
      </c>
    </row>
    <row r="240" spans="1:2">
      <c r="A240" t="s">
        <v>370</v>
      </c>
      <c r="B240">
        <v>0</v>
      </c>
    </row>
    <row r="241" spans="1:2">
      <c r="A241" t="s">
        <v>371</v>
      </c>
      <c r="B241">
        <v>8</v>
      </c>
    </row>
    <row r="242" spans="1:2">
      <c r="A242" t="s">
        <v>372</v>
      </c>
      <c r="B242">
        <v>4</v>
      </c>
    </row>
    <row r="243" spans="1:2">
      <c r="A243" t="s">
        <v>373</v>
      </c>
      <c r="B243">
        <v>2</v>
      </c>
    </row>
    <row r="244" spans="1:2">
      <c r="A244" t="s">
        <v>374</v>
      </c>
      <c r="B244">
        <v>0</v>
      </c>
    </row>
    <row r="245" spans="1:2">
      <c r="A245" t="s">
        <v>375</v>
      </c>
      <c r="B245">
        <v>0</v>
      </c>
    </row>
    <row r="246" spans="1:2">
      <c r="A246" t="s">
        <v>376</v>
      </c>
      <c r="B246">
        <v>0</v>
      </c>
    </row>
    <row r="247" spans="1:2">
      <c r="A247" t="s">
        <v>377</v>
      </c>
      <c r="B247">
        <v>0</v>
      </c>
    </row>
    <row r="248" spans="1:2">
      <c r="A248" t="s">
        <v>378</v>
      </c>
      <c r="B248">
        <v>0</v>
      </c>
    </row>
    <row r="249" spans="1:2">
      <c r="A249" t="s">
        <v>379</v>
      </c>
      <c r="B249">
        <v>0</v>
      </c>
    </row>
    <row r="250" spans="1:2">
      <c r="A250" t="s">
        <v>380</v>
      </c>
      <c r="B250">
        <v>0</v>
      </c>
    </row>
    <row r="251" spans="1:2">
      <c r="A251" t="s">
        <v>381</v>
      </c>
      <c r="B251">
        <v>0</v>
      </c>
    </row>
    <row r="252" spans="1:2">
      <c r="A252" t="s">
        <v>382</v>
      </c>
      <c r="B252">
        <v>0</v>
      </c>
    </row>
    <row r="253" spans="1:2">
      <c r="A253" t="s">
        <v>383</v>
      </c>
      <c r="B253">
        <v>29</v>
      </c>
    </row>
    <row r="254" spans="1:2">
      <c r="A254" t="s">
        <v>384</v>
      </c>
      <c r="B254">
        <v>14</v>
      </c>
    </row>
    <row r="255" spans="1:2">
      <c r="A255" t="s">
        <v>385</v>
      </c>
      <c r="B255">
        <v>0</v>
      </c>
    </row>
    <row r="256" spans="1:2">
      <c r="A256" t="s">
        <v>386</v>
      </c>
      <c r="B256">
        <v>0</v>
      </c>
    </row>
    <row r="257" spans="1:2">
      <c r="A257" t="s">
        <v>387</v>
      </c>
      <c r="B257">
        <v>0</v>
      </c>
    </row>
    <row r="258" spans="1:2">
      <c r="A258" t="s">
        <v>388</v>
      </c>
      <c r="B258">
        <v>0</v>
      </c>
    </row>
    <row r="259" spans="1:2">
      <c r="A259" t="s">
        <v>389</v>
      </c>
      <c r="B259">
        <v>0</v>
      </c>
    </row>
    <row r="260" spans="1:2">
      <c r="A260" t="s">
        <v>133</v>
      </c>
      <c r="B260">
        <v>10</v>
      </c>
    </row>
    <row r="261" spans="1:2">
      <c r="A261" t="s">
        <v>134</v>
      </c>
      <c r="B261">
        <v>5</v>
      </c>
    </row>
    <row r="262" spans="1:2">
      <c r="A262" t="s">
        <v>699</v>
      </c>
      <c r="B262">
        <v>2</v>
      </c>
    </row>
    <row r="263" spans="1:2">
      <c r="A263" t="s">
        <v>135</v>
      </c>
      <c r="B263">
        <v>30</v>
      </c>
    </row>
    <row r="264" spans="1:2">
      <c r="A264" t="s">
        <v>136</v>
      </c>
      <c r="B264">
        <v>30</v>
      </c>
    </row>
    <row r="265" spans="1:2">
      <c r="A265" t="s">
        <v>137</v>
      </c>
      <c r="B265">
        <v>30</v>
      </c>
    </row>
    <row r="266" spans="1:2">
      <c r="A266" t="s">
        <v>138</v>
      </c>
      <c r="B266">
        <v>28</v>
      </c>
    </row>
    <row r="267" spans="1:2">
      <c r="A267" t="s">
        <v>139</v>
      </c>
      <c r="B267">
        <v>30</v>
      </c>
    </row>
    <row r="268" spans="1:2">
      <c r="A268" t="s">
        <v>140</v>
      </c>
      <c r="B268">
        <v>30</v>
      </c>
    </row>
    <row r="269" spans="1:2">
      <c r="A269" t="s">
        <v>141</v>
      </c>
      <c r="B269">
        <v>15</v>
      </c>
    </row>
    <row r="270" spans="1:2">
      <c r="A270" t="s">
        <v>142</v>
      </c>
      <c r="B270">
        <v>15</v>
      </c>
    </row>
    <row r="271" spans="1:2">
      <c r="A271" t="s">
        <v>143</v>
      </c>
      <c r="B271">
        <v>15</v>
      </c>
    </row>
    <row r="272" spans="1:2">
      <c r="A272" t="s">
        <v>144</v>
      </c>
      <c r="B272">
        <v>14</v>
      </c>
    </row>
    <row r="273" spans="1:2">
      <c r="A273" t="s">
        <v>145</v>
      </c>
      <c r="B273">
        <v>15</v>
      </c>
    </row>
    <row r="274" spans="1:2">
      <c r="A274" t="s">
        <v>146</v>
      </c>
      <c r="B274">
        <v>15</v>
      </c>
    </row>
    <row r="275" spans="1:2">
      <c r="A275" t="s">
        <v>390</v>
      </c>
      <c r="B275">
        <v>129</v>
      </c>
    </row>
    <row r="276" spans="1:2">
      <c r="A276" t="s">
        <v>391</v>
      </c>
      <c r="B276">
        <v>72</v>
      </c>
    </row>
    <row r="277" spans="1:2">
      <c r="A277" t="s">
        <v>392</v>
      </c>
      <c r="B277">
        <v>56</v>
      </c>
    </row>
    <row r="278" spans="1:2">
      <c r="A278" t="s">
        <v>716</v>
      </c>
      <c r="B278">
        <v>28</v>
      </c>
    </row>
    <row r="279" spans="1:2">
      <c r="A279" t="s">
        <v>393</v>
      </c>
      <c r="B279">
        <v>69</v>
      </c>
    </row>
    <row r="280" spans="1:2">
      <c r="A280" t="s">
        <v>394</v>
      </c>
      <c r="B280">
        <v>77</v>
      </c>
    </row>
    <row r="281" spans="1:2">
      <c r="A281" t="s">
        <v>147</v>
      </c>
      <c r="B281">
        <v>64</v>
      </c>
    </row>
    <row r="282" spans="1:2">
      <c r="A282" t="s">
        <v>148</v>
      </c>
      <c r="B282">
        <v>36</v>
      </c>
    </row>
    <row r="283" spans="1:2">
      <c r="A283" t="s">
        <v>149</v>
      </c>
      <c r="B283">
        <v>28</v>
      </c>
    </row>
    <row r="284" spans="1:2">
      <c r="A284" t="s">
        <v>150</v>
      </c>
      <c r="B284">
        <v>14</v>
      </c>
    </row>
    <row r="285" spans="1:2">
      <c r="A285" t="s">
        <v>151</v>
      </c>
      <c r="B285">
        <v>34</v>
      </c>
    </row>
    <row r="286" spans="1:2">
      <c r="A286" t="s">
        <v>152</v>
      </c>
      <c r="B286">
        <v>38</v>
      </c>
    </row>
    <row r="287" spans="1:2">
      <c r="A287" t="s">
        <v>153</v>
      </c>
      <c r="B287">
        <v>43</v>
      </c>
    </row>
    <row r="288" spans="1:2">
      <c r="A288" t="s">
        <v>154</v>
      </c>
      <c r="B288">
        <v>24</v>
      </c>
    </row>
    <row r="289" spans="1:2">
      <c r="A289" t="s">
        <v>155</v>
      </c>
      <c r="B289">
        <v>18</v>
      </c>
    </row>
    <row r="290" spans="1:2">
      <c r="A290" t="s">
        <v>156</v>
      </c>
      <c r="B290">
        <v>9</v>
      </c>
    </row>
    <row r="291" spans="1:2">
      <c r="A291" t="s">
        <v>157</v>
      </c>
      <c r="B291">
        <v>23</v>
      </c>
    </row>
    <row r="292" spans="1:2">
      <c r="A292" t="s">
        <v>158</v>
      </c>
      <c r="B292">
        <v>25</v>
      </c>
    </row>
    <row r="293" spans="1:2">
      <c r="A293" t="s">
        <v>395</v>
      </c>
      <c r="B293">
        <v>50</v>
      </c>
    </row>
    <row r="294" spans="1:2">
      <c r="A294" t="s">
        <v>396</v>
      </c>
      <c r="B294">
        <v>50</v>
      </c>
    </row>
    <row r="295" spans="1:2">
      <c r="A295" t="s">
        <v>397</v>
      </c>
      <c r="B295">
        <v>50</v>
      </c>
    </row>
    <row r="296" spans="1:2">
      <c r="A296" t="s">
        <v>398</v>
      </c>
      <c r="B296">
        <v>28</v>
      </c>
    </row>
    <row r="297" spans="1:2">
      <c r="A297" t="s">
        <v>399</v>
      </c>
      <c r="B297">
        <v>50</v>
      </c>
    </row>
    <row r="298" spans="1:2">
      <c r="A298" t="s">
        <v>717</v>
      </c>
      <c r="B298">
        <v>50</v>
      </c>
    </row>
    <row r="299" spans="1:2">
      <c r="A299" t="s">
        <v>400</v>
      </c>
      <c r="B299">
        <v>25</v>
      </c>
    </row>
    <row r="300" spans="1:2">
      <c r="A300" t="s">
        <v>401</v>
      </c>
      <c r="B300">
        <v>25</v>
      </c>
    </row>
    <row r="301" spans="1:2">
      <c r="A301" t="s">
        <v>402</v>
      </c>
      <c r="B301">
        <v>25</v>
      </c>
    </row>
    <row r="302" spans="1:2">
      <c r="A302" t="s">
        <v>403</v>
      </c>
      <c r="B302">
        <v>14</v>
      </c>
    </row>
    <row r="303" spans="1:2">
      <c r="A303" t="s">
        <v>404</v>
      </c>
      <c r="B303">
        <v>25</v>
      </c>
    </row>
    <row r="304" spans="1:2">
      <c r="A304" t="s">
        <v>405</v>
      </c>
      <c r="B304">
        <v>25</v>
      </c>
    </row>
    <row r="305" spans="1:2">
      <c r="A305" t="s">
        <v>159</v>
      </c>
      <c r="B305">
        <v>8.5</v>
      </c>
    </row>
    <row r="306" spans="1:2">
      <c r="A306" t="s">
        <v>406</v>
      </c>
      <c r="B306">
        <v>0</v>
      </c>
    </row>
    <row r="307" spans="1:2">
      <c r="A307" t="s">
        <v>160</v>
      </c>
      <c r="B307">
        <v>4</v>
      </c>
    </row>
    <row r="308" spans="1:2">
      <c r="A308" t="s">
        <v>407</v>
      </c>
      <c r="B308">
        <v>57</v>
      </c>
    </row>
    <row r="309" spans="1:2">
      <c r="A309" t="s">
        <v>161</v>
      </c>
      <c r="B309">
        <v>38</v>
      </c>
    </row>
    <row r="310" spans="1:2">
      <c r="A310" t="s">
        <v>162</v>
      </c>
      <c r="B310">
        <v>19</v>
      </c>
    </row>
    <row r="311" spans="1:2">
      <c r="A311" t="s">
        <v>163</v>
      </c>
      <c r="B311">
        <v>24</v>
      </c>
    </row>
    <row r="312" spans="1:2">
      <c r="A312" t="s">
        <v>408</v>
      </c>
      <c r="B312">
        <v>12</v>
      </c>
    </row>
    <row r="313" spans="1:2">
      <c r="A313" t="s">
        <v>409</v>
      </c>
      <c r="B313">
        <v>44</v>
      </c>
    </row>
    <row r="314" spans="1:2">
      <c r="A314" t="s">
        <v>164</v>
      </c>
      <c r="B314">
        <v>22</v>
      </c>
    </row>
    <row r="315" spans="1:2">
      <c r="A315" t="s">
        <v>410</v>
      </c>
      <c r="B315">
        <v>64</v>
      </c>
    </row>
    <row r="316" spans="1:2">
      <c r="A316" t="s">
        <v>411</v>
      </c>
      <c r="B316">
        <v>32</v>
      </c>
    </row>
    <row r="317" spans="1:2">
      <c r="A317" t="s">
        <v>165</v>
      </c>
      <c r="B317">
        <v>9</v>
      </c>
    </row>
    <row r="318" spans="1:2">
      <c r="A318" t="s">
        <v>166</v>
      </c>
      <c r="B318">
        <v>4</v>
      </c>
    </row>
    <row r="319" spans="1:2">
      <c r="A319" t="s">
        <v>167</v>
      </c>
      <c r="B319">
        <v>19</v>
      </c>
    </row>
    <row r="320" spans="1:2">
      <c r="A320" t="s">
        <v>168</v>
      </c>
      <c r="B320">
        <v>9</v>
      </c>
    </row>
    <row r="321" spans="1:2">
      <c r="A321" t="s">
        <v>169</v>
      </c>
      <c r="B321">
        <v>5</v>
      </c>
    </row>
    <row r="322" spans="1:2">
      <c r="A322" t="s">
        <v>170</v>
      </c>
      <c r="B322">
        <v>2</v>
      </c>
    </row>
    <row r="323" spans="1:2">
      <c r="A323" t="s">
        <v>171</v>
      </c>
      <c r="B323">
        <v>41</v>
      </c>
    </row>
    <row r="324" spans="1:2">
      <c r="A324" t="s">
        <v>172</v>
      </c>
      <c r="B324">
        <v>20</v>
      </c>
    </row>
    <row r="325" spans="1:2">
      <c r="A325" t="s">
        <v>413</v>
      </c>
      <c r="B325">
        <v>0</v>
      </c>
    </row>
    <row r="326" spans="1:2">
      <c r="A326" t="s">
        <v>414</v>
      </c>
      <c r="B326">
        <v>6</v>
      </c>
    </row>
    <row r="327" spans="1:2">
      <c r="A327" t="s">
        <v>718</v>
      </c>
      <c r="B327">
        <v>0</v>
      </c>
    </row>
    <row r="328" spans="1:2">
      <c r="A328" t="s">
        <v>415</v>
      </c>
      <c r="B328">
        <v>1</v>
      </c>
    </row>
    <row r="329" spans="1:2">
      <c r="A329" t="s">
        <v>416</v>
      </c>
      <c r="B329">
        <v>0</v>
      </c>
    </row>
    <row r="330" spans="1:2">
      <c r="A330" t="s">
        <v>417</v>
      </c>
      <c r="B330">
        <v>0</v>
      </c>
    </row>
    <row r="331" spans="1:2">
      <c r="A331" t="s">
        <v>173</v>
      </c>
      <c r="B331">
        <v>4</v>
      </c>
    </row>
    <row r="332" spans="1:2">
      <c r="A332" t="s">
        <v>174</v>
      </c>
      <c r="B332">
        <v>2</v>
      </c>
    </row>
    <row r="333" spans="1:2">
      <c r="A333" t="s">
        <v>175</v>
      </c>
      <c r="B333">
        <v>6</v>
      </c>
    </row>
    <row r="334" spans="1:2">
      <c r="A334" t="s">
        <v>26</v>
      </c>
      <c r="B334">
        <v>3</v>
      </c>
    </row>
    <row r="335" spans="1:2">
      <c r="A335" t="s">
        <v>419</v>
      </c>
      <c r="B335">
        <v>3</v>
      </c>
    </row>
    <row r="336" spans="1:2">
      <c r="A336" t="s">
        <v>176</v>
      </c>
      <c r="B336">
        <v>1</v>
      </c>
    </row>
    <row r="337" spans="1:2">
      <c r="A337" t="s">
        <v>177</v>
      </c>
      <c r="B337">
        <v>4</v>
      </c>
    </row>
    <row r="338" spans="1:2">
      <c r="A338" t="s">
        <v>178</v>
      </c>
      <c r="B338">
        <v>2</v>
      </c>
    </row>
    <row r="339" spans="1:2">
      <c r="A339" t="s">
        <v>420</v>
      </c>
      <c r="B339">
        <v>1</v>
      </c>
    </row>
    <row r="340" spans="1:2">
      <c r="A340" t="s">
        <v>179</v>
      </c>
      <c r="B340">
        <v>0</v>
      </c>
    </row>
    <row r="341" spans="1:2">
      <c r="A341" t="s">
        <v>180</v>
      </c>
      <c r="B341">
        <v>1</v>
      </c>
    </row>
    <row r="342" spans="1:2">
      <c r="A342" t="s">
        <v>181</v>
      </c>
      <c r="B342">
        <v>0</v>
      </c>
    </row>
    <row r="343" spans="1:2">
      <c r="A343" t="s">
        <v>421</v>
      </c>
      <c r="B343">
        <v>0</v>
      </c>
    </row>
    <row r="344" spans="1:2">
      <c r="A344" t="s">
        <v>182</v>
      </c>
      <c r="B344">
        <v>0</v>
      </c>
    </row>
    <row r="345" spans="1:2">
      <c r="A345" t="s">
        <v>183</v>
      </c>
      <c r="B345">
        <v>6</v>
      </c>
    </row>
    <row r="346" spans="1:2">
      <c r="A346" t="s">
        <v>184</v>
      </c>
      <c r="B346">
        <v>3</v>
      </c>
    </row>
    <row r="347" spans="1:2">
      <c r="A347" t="s">
        <v>185</v>
      </c>
      <c r="B347">
        <v>0</v>
      </c>
    </row>
    <row r="348" spans="1:2">
      <c r="A348" t="s">
        <v>186</v>
      </c>
      <c r="B348">
        <v>0</v>
      </c>
    </row>
    <row r="349" spans="1:2">
      <c r="A349" t="s">
        <v>422</v>
      </c>
      <c r="B349">
        <v>0</v>
      </c>
    </row>
    <row r="350" spans="1:2">
      <c r="A350" t="s">
        <v>423</v>
      </c>
      <c r="B350">
        <v>0</v>
      </c>
    </row>
    <row r="351" spans="1:2">
      <c r="A351" t="s">
        <v>424</v>
      </c>
      <c r="B351">
        <v>0</v>
      </c>
    </row>
    <row r="352" spans="1:2">
      <c r="A352" t="s">
        <v>425</v>
      </c>
      <c r="B352">
        <v>31</v>
      </c>
    </row>
    <row r="353" spans="1:2">
      <c r="A353" t="s">
        <v>426</v>
      </c>
      <c r="B353">
        <v>21</v>
      </c>
    </row>
    <row r="354" spans="1:2">
      <c r="A354" t="s">
        <v>427</v>
      </c>
      <c r="B354">
        <v>10</v>
      </c>
    </row>
    <row r="355" spans="1:2">
      <c r="A355" t="s">
        <v>428</v>
      </c>
      <c r="B355">
        <v>5</v>
      </c>
    </row>
    <row r="356" spans="1:2">
      <c r="A356" t="s">
        <v>429</v>
      </c>
      <c r="B356">
        <v>15</v>
      </c>
    </row>
    <row r="357" spans="1:2">
      <c r="A357" t="s">
        <v>430</v>
      </c>
      <c r="B357">
        <v>7</v>
      </c>
    </row>
    <row r="358" spans="1:2">
      <c r="A358" t="s">
        <v>431</v>
      </c>
      <c r="B358">
        <v>0</v>
      </c>
    </row>
    <row r="359" spans="1:2">
      <c r="A359" t="s">
        <v>432</v>
      </c>
      <c r="B359">
        <v>0</v>
      </c>
    </row>
    <row r="360" spans="1:2">
      <c r="A360" t="s">
        <v>433</v>
      </c>
      <c r="B360">
        <v>0</v>
      </c>
    </row>
    <row r="361" spans="1:2">
      <c r="A361" t="s">
        <v>435</v>
      </c>
      <c r="B361">
        <v>16</v>
      </c>
    </row>
    <row r="362" spans="1:2">
      <c r="A362" t="s">
        <v>187</v>
      </c>
      <c r="B362">
        <v>8</v>
      </c>
    </row>
    <row r="363" spans="1:2">
      <c r="A363" t="s">
        <v>188</v>
      </c>
      <c r="B363">
        <v>4</v>
      </c>
    </row>
    <row r="364" spans="1:2">
      <c r="A364" t="s">
        <v>437</v>
      </c>
      <c r="B364">
        <v>2</v>
      </c>
    </row>
    <row r="365" spans="1:2">
      <c r="A365" t="s">
        <v>438</v>
      </c>
      <c r="B365">
        <v>20</v>
      </c>
    </row>
    <row r="366" spans="1:2">
      <c r="A366" t="s">
        <v>189</v>
      </c>
      <c r="B366">
        <v>10</v>
      </c>
    </row>
    <row r="367" spans="1:2">
      <c r="A367" t="s">
        <v>190</v>
      </c>
      <c r="B367">
        <v>5</v>
      </c>
    </row>
    <row r="368" spans="1:2">
      <c r="A368" t="s">
        <v>440</v>
      </c>
      <c r="B368">
        <v>1</v>
      </c>
    </row>
    <row r="369" spans="1:2">
      <c r="A369" t="s">
        <v>441</v>
      </c>
      <c r="B369">
        <v>0</v>
      </c>
    </row>
    <row r="370" spans="1:2">
      <c r="A370" t="s">
        <v>191</v>
      </c>
      <c r="B370">
        <v>16</v>
      </c>
    </row>
    <row r="371" spans="1:2">
      <c r="A371" t="s">
        <v>192</v>
      </c>
      <c r="B371">
        <v>8</v>
      </c>
    </row>
    <row r="372" spans="1:2">
      <c r="A372" t="s">
        <v>698</v>
      </c>
      <c r="B372">
        <v>4</v>
      </c>
    </row>
    <row r="373" spans="1:2">
      <c r="A373" t="s">
        <v>193</v>
      </c>
      <c r="B373">
        <v>0</v>
      </c>
    </row>
    <row r="374" spans="1:2">
      <c r="A374" t="s">
        <v>443</v>
      </c>
      <c r="B374">
        <v>6</v>
      </c>
    </row>
    <row r="375" spans="1:2">
      <c r="A375" t="s">
        <v>194</v>
      </c>
      <c r="B375">
        <v>0</v>
      </c>
    </row>
    <row r="376" spans="1:2">
      <c r="A376" t="s">
        <v>69</v>
      </c>
      <c r="B376">
        <v>13</v>
      </c>
    </row>
    <row r="377" spans="1:2">
      <c r="A377" t="s">
        <v>195</v>
      </c>
      <c r="B377">
        <v>28</v>
      </c>
    </row>
    <row r="378" spans="1:2">
      <c r="A378" t="s">
        <v>444</v>
      </c>
      <c r="B378">
        <v>14</v>
      </c>
    </row>
    <row r="379" spans="1:2">
      <c r="A379" t="s">
        <v>196</v>
      </c>
      <c r="B379">
        <v>7</v>
      </c>
    </row>
    <row r="380" spans="1:2">
      <c r="A380" t="s">
        <v>197</v>
      </c>
      <c r="B380">
        <v>5</v>
      </c>
    </row>
    <row r="381" spans="1:2">
      <c r="A381" t="s">
        <v>445</v>
      </c>
      <c r="B381">
        <v>25.999999999999993</v>
      </c>
    </row>
    <row r="382" spans="1:2">
      <c r="A382" t="s">
        <v>198</v>
      </c>
      <c r="B382">
        <v>13</v>
      </c>
    </row>
    <row r="383" spans="1:2">
      <c r="A383" t="s">
        <v>199</v>
      </c>
      <c r="B383">
        <v>6</v>
      </c>
    </row>
    <row r="384" spans="1:2">
      <c r="A384" t="s">
        <v>15</v>
      </c>
      <c r="B384">
        <v>5</v>
      </c>
    </row>
    <row r="385" spans="1:2">
      <c r="A385" t="s">
        <v>446</v>
      </c>
      <c r="B385">
        <v>12</v>
      </c>
    </row>
    <row r="386" spans="1:2">
      <c r="A386" t="s">
        <v>200</v>
      </c>
      <c r="B386">
        <v>6</v>
      </c>
    </row>
    <row r="387" spans="1:2">
      <c r="A387" t="s">
        <v>201</v>
      </c>
      <c r="B387">
        <v>9</v>
      </c>
    </row>
    <row r="388" spans="1:2">
      <c r="A388" t="s">
        <v>202</v>
      </c>
      <c r="B388">
        <v>4</v>
      </c>
    </row>
    <row r="389" spans="1:2">
      <c r="A389" t="s">
        <v>203</v>
      </c>
      <c r="B389">
        <v>2</v>
      </c>
    </row>
    <row r="390" spans="1:2">
      <c r="A390" t="s">
        <v>204</v>
      </c>
      <c r="B390">
        <v>1</v>
      </c>
    </row>
    <row r="391" spans="1:2">
      <c r="A391" t="s">
        <v>448</v>
      </c>
      <c r="B391">
        <v>12</v>
      </c>
    </row>
    <row r="392" spans="1:2">
      <c r="A392" t="s">
        <v>449</v>
      </c>
      <c r="B392">
        <v>6</v>
      </c>
    </row>
    <row r="393" spans="1:2">
      <c r="A393" t="s">
        <v>450</v>
      </c>
      <c r="B393">
        <v>3</v>
      </c>
    </row>
    <row r="394" spans="1:2">
      <c r="A394" t="s">
        <v>205</v>
      </c>
      <c r="B394">
        <v>24</v>
      </c>
    </row>
    <row r="395" spans="1:2">
      <c r="A395" t="s">
        <v>206</v>
      </c>
      <c r="B395">
        <v>12</v>
      </c>
    </row>
    <row r="396" spans="1:2">
      <c r="A396" t="s">
        <v>207</v>
      </c>
      <c r="B396">
        <v>6</v>
      </c>
    </row>
    <row r="397" spans="1:2">
      <c r="A397" t="s">
        <v>208</v>
      </c>
      <c r="B397">
        <v>120</v>
      </c>
    </row>
    <row r="398" spans="1:2">
      <c r="A398" t="s">
        <v>209</v>
      </c>
      <c r="B398">
        <v>60</v>
      </c>
    </row>
    <row r="399" spans="1:2">
      <c r="A399" t="s">
        <v>210</v>
      </c>
      <c r="B399">
        <v>30</v>
      </c>
    </row>
    <row r="400" spans="1:2">
      <c r="A400" t="s">
        <v>451</v>
      </c>
      <c r="B400">
        <v>0</v>
      </c>
    </row>
    <row r="401" spans="1:2">
      <c r="A401" t="s">
        <v>211</v>
      </c>
      <c r="B401">
        <v>12</v>
      </c>
    </row>
    <row r="402" spans="1:2">
      <c r="A402" t="s">
        <v>452</v>
      </c>
      <c r="B402">
        <v>6</v>
      </c>
    </row>
    <row r="403" spans="1:2">
      <c r="A403" t="s">
        <v>212</v>
      </c>
      <c r="B403">
        <v>0</v>
      </c>
    </row>
    <row r="404" spans="1:2">
      <c r="A404" t="s">
        <v>213</v>
      </c>
      <c r="B404">
        <v>0</v>
      </c>
    </row>
    <row r="405" spans="1:2">
      <c r="A405" t="s">
        <v>453</v>
      </c>
      <c r="B405">
        <v>0</v>
      </c>
    </row>
    <row r="406" spans="1:2">
      <c r="A406" t="s">
        <v>454</v>
      </c>
      <c r="B406">
        <v>0</v>
      </c>
    </row>
    <row r="407" spans="1:2">
      <c r="A407" t="s">
        <v>455</v>
      </c>
      <c r="B407">
        <v>0</v>
      </c>
    </row>
    <row r="408" spans="1:2">
      <c r="A408" t="s">
        <v>691</v>
      </c>
      <c r="B408">
        <v>0</v>
      </c>
    </row>
    <row r="409" spans="1:2">
      <c r="A409" t="s">
        <v>214</v>
      </c>
      <c r="B409">
        <v>16</v>
      </c>
    </row>
    <row r="410" spans="1:2">
      <c r="A410" t="s">
        <v>215</v>
      </c>
      <c r="B410">
        <v>8</v>
      </c>
    </row>
    <row r="411" spans="1:2">
      <c r="A411" t="s">
        <v>216</v>
      </c>
      <c r="B411">
        <v>4</v>
      </c>
    </row>
    <row r="412" spans="1:2">
      <c r="A412" t="s">
        <v>456</v>
      </c>
      <c r="B412">
        <v>0</v>
      </c>
    </row>
    <row r="413" spans="1:2">
      <c r="A413" t="s">
        <v>724</v>
      </c>
      <c r="B413">
        <v>0</v>
      </c>
    </row>
    <row r="414" spans="1:2">
      <c r="A414" t="s">
        <v>457</v>
      </c>
      <c r="B414">
        <v>10</v>
      </c>
    </row>
    <row r="415" spans="1:2">
      <c r="A415" t="s">
        <v>458</v>
      </c>
      <c r="B415">
        <v>10</v>
      </c>
    </row>
    <row r="416" spans="1:2">
      <c r="A416" t="s">
        <v>459</v>
      </c>
      <c r="B416">
        <v>0</v>
      </c>
    </row>
    <row r="417" spans="1:2">
      <c r="A417" t="s">
        <v>765</v>
      </c>
      <c r="B417">
        <v>0</v>
      </c>
    </row>
    <row r="418" spans="1:2">
      <c r="A418" t="s">
        <v>704</v>
      </c>
      <c r="B418">
        <v>0</v>
      </c>
    </row>
    <row r="419" spans="1:2">
      <c r="A419" t="s">
        <v>217</v>
      </c>
      <c r="B419">
        <v>0</v>
      </c>
    </row>
    <row r="420" spans="1:2">
      <c r="A420" t="s">
        <v>218</v>
      </c>
      <c r="B420">
        <v>0</v>
      </c>
    </row>
    <row r="421" spans="1:2">
      <c r="A421" t="s">
        <v>766</v>
      </c>
      <c r="B421">
        <v>0</v>
      </c>
    </row>
    <row r="422" spans="1:2">
      <c r="A422" t="s">
        <v>701</v>
      </c>
      <c r="B422">
        <v>0</v>
      </c>
    </row>
    <row r="423" spans="1:2">
      <c r="A423" t="s">
        <v>725</v>
      </c>
      <c r="B423">
        <v>3</v>
      </c>
    </row>
    <row r="424" spans="1:2">
      <c r="A424" t="s">
        <v>726</v>
      </c>
      <c r="B424">
        <v>0</v>
      </c>
    </row>
    <row r="425" spans="1:2">
      <c r="A425" t="s">
        <v>727</v>
      </c>
      <c r="B425">
        <v>0</v>
      </c>
    </row>
    <row r="426" spans="1:2">
      <c r="A426" t="s">
        <v>460</v>
      </c>
      <c r="B426">
        <v>0</v>
      </c>
    </row>
    <row r="427" spans="1:2">
      <c r="A427" t="s">
        <v>728</v>
      </c>
      <c r="B427">
        <v>0</v>
      </c>
    </row>
    <row r="428" spans="1:2">
      <c r="A428" t="s">
        <v>729</v>
      </c>
      <c r="B428">
        <v>0</v>
      </c>
    </row>
    <row r="429" spans="1:2">
      <c r="A429" t="s">
        <v>219</v>
      </c>
      <c r="B429">
        <v>75</v>
      </c>
    </row>
    <row r="430" spans="1:2">
      <c r="A430" t="s">
        <v>220</v>
      </c>
      <c r="B430">
        <v>37</v>
      </c>
    </row>
    <row r="431" spans="1:2">
      <c r="A431" t="s">
        <v>221</v>
      </c>
      <c r="B431">
        <v>18</v>
      </c>
    </row>
    <row r="432" spans="1:2">
      <c r="A432" t="s">
        <v>730</v>
      </c>
      <c r="B432">
        <v>4</v>
      </c>
    </row>
    <row r="433" spans="1:2">
      <c r="A433" t="s">
        <v>222</v>
      </c>
      <c r="B433">
        <v>2</v>
      </c>
    </row>
    <row r="434" spans="1:2">
      <c r="A434" t="s">
        <v>688</v>
      </c>
      <c r="B434">
        <v>12</v>
      </c>
    </row>
    <row r="435" spans="1:2">
      <c r="A435" t="s">
        <v>689</v>
      </c>
      <c r="B435">
        <v>6</v>
      </c>
    </row>
    <row r="436" spans="1:2">
      <c r="A436" t="s">
        <v>223</v>
      </c>
      <c r="B436">
        <v>86</v>
      </c>
    </row>
    <row r="437" spans="1:2">
      <c r="A437" t="s">
        <v>224</v>
      </c>
      <c r="B437">
        <v>43</v>
      </c>
    </row>
    <row r="438" spans="1:2">
      <c r="A438" t="s">
        <v>225</v>
      </c>
      <c r="B438">
        <v>21</v>
      </c>
    </row>
    <row r="439" spans="1:2">
      <c r="A439" t="s">
        <v>226</v>
      </c>
      <c r="B439">
        <v>52</v>
      </c>
    </row>
    <row r="440" spans="1:2">
      <c r="A440" t="s">
        <v>227</v>
      </c>
      <c r="B440">
        <v>26</v>
      </c>
    </row>
    <row r="441" spans="1:2">
      <c r="A441" t="s">
        <v>61</v>
      </c>
      <c r="B441">
        <v>13</v>
      </c>
    </row>
    <row r="442" spans="1:2">
      <c r="A442" t="s">
        <v>228</v>
      </c>
      <c r="B442">
        <v>47</v>
      </c>
    </row>
    <row r="443" spans="1:2">
      <c r="A443" t="s">
        <v>229</v>
      </c>
      <c r="B443">
        <v>23</v>
      </c>
    </row>
    <row r="444" spans="1:2">
      <c r="A444" t="s">
        <v>62</v>
      </c>
      <c r="B444">
        <v>11</v>
      </c>
    </row>
    <row r="445" spans="1:2">
      <c r="A445" t="s">
        <v>463</v>
      </c>
      <c r="B445">
        <v>0</v>
      </c>
    </row>
    <row r="446" spans="1:2">
      <c r="A446" t="s">
        <v>464</v>
      </c>
      <c r="B446">
        <v>0</v>
      </c>
    </row>
    <row r="447" spans="1:2">
      <c r="A447" t="s">
        <v>465</v>
      </c>
      <c r="B447">
        <v>0</v>
      </c>
    </row>
    <row r="448" spans="1:2">
      <c r="A448" t="s">
        <v>731</v>
      </c>
      <c r="B448">
        <v>0</v>
      </c>
    </row>
    <row r="449" spans="1:2">
      <c r="A449" t="s">
        <v>230</v>
      </c>
      <c r="B449">
        <v>23</v>
      </c>
    </row>
    <row r="450" spans="1:2">
      <c r="A450" t="s">
        <v>231</v>
      </c>
      <c r="B450">
        <v>11</v>
      </c>
    </row>
    <row r="451" spans="1:2">
      <c r="A451" t="s">
        <v>232</v>
      </c>
      <c r="B451">
        <v>5</v>
      </c>
    </row>
    <row r="452" spans="1:2">
      <c r="A452" t="s">
        <v>233</v>
      </c>
      <c r="B452">
        <v>49</v>
      </c>
    </row>
    <row r="453" spans="1:2">
      <c r="A453" t="s">
        <v>234</v>
      </c>
      <c r="B453">
        <v>24</v>
      </c>
    </row>
    <row r="454" spans="1:2">
      <c r="A454" t="s">
        <v>235</v>
      </c>
      <c r="B454">
        <v>12</v>
      </c>
    </row>
    <row r="455" spans="1:2">
      <c r="A455" t="s">
        <v>236</v>
      </c>
      <c r="B455">
        <v>4</v>
      </c>
    </row>
    <row r="456" spans="1:2">
      <c r="A456" t="s">
        <v>237</v>
      </c>
      <c r="B456">
        <v>2</v>
      </c>
    </row>
    <row r="457" spans="1:2">
      <c r="A457" t="s">
        <v>238</v>
      </c>
      <c r="B457">
        <v>5</v>
      </c>
    </row>
    <row r="458" spans="1:2">
      <c r="A458" t="s">
        <v>466</v>
      </c>
      <c r="B458">
        <v>2</v>
      </c>
    </row>
    <row r="459" spans="1:2">
      <c r="A459" t="s">
        <v>239</v>
      </c>
      <c r="B459">
        <v>10</v>
      </c>
    </row>
    <row r="460" spans="1:2">
      <c r="A460" t="s">
        <v>240</v>
      </c>
      <c r="B460">
        <v>5</v>
      </c>
    </row>
    <row r="461" spans="1:2">
      <c r="A461" t="s">
        <v>241</v>
      </c>
      <c r="B461">
        <v>8</v>
      </c>
    </row>
    <row r="462" spans="1:2">
      <c r="A462" t="s">
        <v>467</v>
      </c>
      <c r="B462">
        <v>4</v>
      </c>
    </row>
    <row r="463" spans="1:2">
      <c r="A463" t="s">
        <v>468</v>
      </c>
      <c r="B463">
        <v>1</v>
      </c>
    </row>
    <row r="464" spans="1:2">
      <c r="A464" t="s">
        <v>732</v>
      </c>
      <c r="B464">
        <v>0</v>
      </c>
    </row>
    <row r="465" spans="1:2">
      <c r="A465" t="s">
        <v>469</v>
      </c>
      <c r="B465">
        <v>1</v>
      </c>
    </row>
    <row r="466" spans="1:2">
      <c r="A466" t="s">
        <v>470</v>
      </c>
      <c r="B466">
        <v>0</v>
      </c>
    </row>
    <row r="467" spans="1:2">
      <c r="A467" t="s">
        <v>471</v>
      </c>
      <c r="B467">
        <v>4</v>
      </c>
    </row>
    <row r="468" spans="1:2">
      <c r="A468" t="s">
        <v>472</v>
      </c>
      <c r="B468">
        <v>10</v>
      </c>
    </row>
    <row r="469" spans="1:2">
      <c r="A469" t="s">
        <v>473</v>
      </c>
      <c r="B469">
        <v>3</v>
      </c>
    </row>
    <row r="470" spans="1:2">
      <c r="A470" t="s">
        <v>474</v>
      </c>
      <c r="B470">
        <v>0</v>
      </c>
    </row>
    <row r="471" spans="1:2">
      <c r="A471" t="s">
        <v>475</v>
      </c>
      <c r="B471">
        <v>0</v>
      </c>
    </row>
    <row r="472" spans="1:2">
      <c r="A472" t="s">
        <v>476</v>
      </c>
      <c r="B472">
        <v>109</v>
      </c>
    </row>
    <row r="473" spans="1:2">
      <c r="A473" t="s">
        <v>477</v>
      </c>
      <c r="B473">
        <v>0</v>
      </c>
    </row>
    <row r="474" spans="1:2">
      <c r="A474" t="s">
        <v>707</v>
      </c>
      <c r="B474">
        <v>0</v>
      </c>
    </row>
    <row r="475" spans="1:2">
      <c r="A475" t="s">
        <v>478</v>
      </c>
      <c r="B475">
        <v>0</v>
      </c>
    </row>
    <row r="476" spans="1:2">
      <c r="A476" t="s">
        <v>719</v>
      </c>
      <c r="B476">
        <v>0</v>
      </c>
    </row>
    <row r="477" spans="1:2">
      <c r="A477" t="s">
        <v>242</v>
      </c>
      <c r="B477">
        <v>0</v>
      </c>
    </row>
    <row r="478" spans="1:2">
      <c r="A478" t="s">
        <v>720</v>
      </c>
      <c r="B478">
        <v>0</v>
      </c>
    </row>
    <row r="479" spans="1:2">
      <c r="A479" t="s">
        <v>721</v>
      </c>
      <c r="B479">
        <v>0</v>
      </c>
    </row>
    <row r="480" spans="1:2">
      <c r="A480" t="s">
        <v>722</v>
      </c>
      <c r="B480">
        <v>0</v>
      </c>
    </row>
    <row r="481" spans="1:2">
      <c r="A481" t="s">
        <v>733</v>
      </c>
      <c r="B481">
        <v>0</v>
      </c>
    </row>
    <row r="482" spans="1:2">
      <c r="A482" t="s">
        <v>479</v>
      </c>
      <c r="B482">
        <v>0</v>
      </c>
    </row>
    <row r="483" spans="1:2">
      <c r="A483" t="s">
        <v>480</v>
      </c>
      <c r="B483">
        <v>0</v>
      </c>
    </row>
    <row r="484" spans="1:2">
      <c r="A484" t="s">
        <v>481</v>
      </c>
      <c r="B484">
        <v>0</v>
      </c>
    </row>
    <row r="485" spans="1:2">
      <c r="A485" t="s">
        <v>243</v>
      </c>
      <c r="B485">
        <v>10</v>
      </c>
    </row>
    <row r="486" spans="1:2">
      <c r="A486" t="s">
        <v>482</v>
      </c>
      <c r="B486">
        <v>0</v>
      </c>
    </row>
    <row r="487" spans="1:2">
      <c r="A487" t="s">
        <v>244</v>
      </c>
      <c r="B487">
        <v>0</v>
      </c>
    </row>
    <row r="488" spans="1:2">
      <c r="A488" t="s">
        <v>245</v>
      </c>
      <c r="B488">
        <v>3</v>
      </c>
    </row>
    <row r="489" spans="1:2">
      <c r="A489" t="s">
        <v>483</v>
      </c>
      <c r="B489">
        <v>0</v>
      </c>
    </row>
    <row r="490" spans="1:2">
      <c r="A490" t="s">
        <v>246</v>
      </c>
      <c r="B490">
        <v>0</v>
      </c>
    </row>
    <row r="491" spans="1:2">
      <c r="A491" t="s">
        <v>247</v>
      </c>
      <c r="B491">
        <v>2</v>
      </c>
    </row>
    <row r="492" spans="1:2">
      <c r="A492" t="s">
        <v>484</v>
      </c>
      <c r="B492">
        <v>0</v>
      </c>
    </row>
    <row r="493" spans="1:2">
      <c r="A493" t="s">
        <v>248</v>
      </c>
      <c r="B493">
        <v>0</v>
      </c>
    </row>
    <row r="494" spans="1:2">
      <c r="A494" t="s">
        <v>249</v>
      </c>
      <c r="B494">
        <v>0</v>
      </c>
    </row>
    <row r="495" spans="1:2">
      <c r="A495" t="s">
        <v>250</v>
      </c>
      <c r="B495">
        <v>0</v>
      </c>
    </row>
    <row r="496" spans="1:2">
      <c r="A496" t="s">
        <v>251</v>
      </c>
      <c r="B496">
        <v>0</v>
      </c>
    </row>
    <row r="497" spans="1:2">
      <c r="A497" t="s">
        <v>252</v>
      </c>
      <c r="B497">
        <v>0</v>
      </c>
    </row>
    <row r="498" spans="1:2">
      <c r="A498" t="s">
        <v>485</v>
      </c>
      <c r="B498">
        <v>0</v>
      </c>
    </row>
    <row r="499" spans="1:2">
      <c r="A499" t="s">
        <v>28</v>
      </c>
      <c r="B499">
        <v>1</v>
      </c>
    </row>
    <row r="500" spans="1:2">
      <c r="A500" t="s">
        <v>253</v>
      </c>
      <c r="B500">
        <v>0</v>
      </c>
    </row>
    <row r="501" spans="1:2">
      <c r="A501" t="s">
        <v>254</v>
      </c>
      <c r="B501">
        <v>0</v>
      </c>
    </row>
    <row r="502" spans="1:2">
      <c r="A502" t="s">
        <v>255</v>
      </c>
      <c r="B502">
        <v>0</v>
      </c>
    </row>
    <row r="503" spans="1:2">
      <c r="A503" t="s">
        <v>486</v>
      </c>
      <c r="B503">
        <v>0</v>
      </c>
    </row>
    <row r="504" spans="1:2">
      <c r="A504" t="s">
        <v>29</v>
      </c>
      <c r="B504">
        <v>0</v>
      </c>
    </row>
    <row r="505" spans="1:2">
      <c r="A505" t="s">
        <v>256</v>
      </c>
      <c r="B505">
        <v>3</v>
      </c>
    </row>
    <row r="506" spans="1:2">
      <c r="A506" t="s">
        <v>487</v>
      </c>
      <c r="B506">
        <v>0</v>
      </c>
    </row>
    <row r="507" spans="1:2">
      <c r="A507" t="s">
        <v>488</v>
      </c>
      <c r="B507">
        <v>0</v>
      </c>
    </row>
    <row r="508" spans="1:2">
      <c r="A508" t="s">
        <v>489</v>
      </c>
      <c r="B508">
        <v>0</v>
      </c>
    </row>
    <row r="509" spans="1:2">
      <c r="A509" t="s">
        <v>257</v>
      </c>
      <c r="B509">
        <v>0</v>
      </c>
    </row>
    <row r="510" spans="1:2">
      <c r="A510" t="s">
        <v>490</v>
      </c>
      <c r="B510">
        <v>0</v>
      </c>
    </row>
    <row r="511" spans="1:2">
      <c r="A511" t="s">
        <v>491</v>
      </c>
      <c r="B511">
        <v>5</v>
      </c>
    </row>
    <row r="512" spans="1:2">
      <c r="A512" t="s">
        <v>492</v>
      </c>
      <c r="B512">
        <v>1</v>
      </c>
    </row>
    <row r="513" spans="1:2">
      <c r="A513" t="s">
        <v>705</v>
      </c>
      <c r="B513">
        <v>2</v>
      </c>
    </row>
    <row r="514" spans="1:2">
      <c r="A514" t="s">
        <v>493</v>
      </c>
      <c r="B514">
        <v>2</v>
      </c>
    </row>
    <row r="515" spans="1:2">
      <c r="A515" t="s">
        <v>258</v>
      </c>
      <c r="B515">
        <v>38</v>
      </c>
    </row>
    <row r="516" spans="1:2">
      <c r="A516" t="s">
        <v>259</v>
      </c>
      <c r="B516">
        <v>45</v>
      </c>
    </row>
    <row r="517" spans="1:2">
      <c r="A517" t="s">
        <v>494</v>
      </c>
      <c r="B517">
        <v>4</v>
      </c>
    </row>
    <row r="518" spans="1:2">
      <c r="A518" t="s">
        <v>495</v>
      </c>
      <c r="B518">
        <v>4</v>
      </c>
    </row>
    <row r="519" spans="1:2">
      <c r="A519" t="s">
        <v>260</v>
      </c>
      <c r="B519">
        <v>5</v>
      </c>
    </row>
    <row r="520" spans="1:2">
      <c r="A520" t="s">
        <v>496</v>
      </c>
      <c r="B520">
        <v>2</v>
      </c>
    </row>
    <row r="521" spans="1:2">
      <c r="A521" t="s">
        <v>497</v>
      </c>
      <c r="B521">
        <v>3</v>
      </c>
    </row>
    <row r="522" spans="1:2">
      <c r="A522" t="s">
        <v>498</v>
      </c>
      <c r="B522">
        <v>5</v>
      </c>
    </row>
    <row r="523" spans="1:2">
      <c r="A523" t="s">
        <v>499</v>
      </c>
      <c r="B523">
        <v>1</v>
      </c>
    </row>
    <row r="524" spans="1:2">
      <c r="A524" t="s">
        <v>500</v>
      </c>
      <c r="B524">
        <v>0</v>
      </c>
    </row>
    <row r="525" spans="1:2">
      <c r="A525" t="s">
        <v>261</v>
      </c>
      <c r="B525">
        <v>0</v>
      </c>
    </row>
    <row r="526" spans="1:2">
      <c r="A526" t="s">
        <v>734</v>
      </c>
      <c r="B526">
        <v>0</v>
      </c>
    </row>
    <row r="527" spans="1:2">
      <c r="A527" t="s">
        <v>501</v>
      </c>
      <c r="B527">
        <v>0</v>
      </c>
    </row>
    <row r="528" spans="1:2">
      <c r="A528" t="s">
        <v>502</v>
      </c>
      <c r="B528">
        <v>8</v>
      </c>
    </row>
    <row r="529" spans="1:2">
      <c r="A529" t="s">
        <v>503</v>
      </c>
      <c r="B529">
        <v>8</v>
      </c>
    </row>
    <row r="530" spans="1:2">
      <c r="A530" t="s">
        <v>504</v>
      </c>
      <c r="B530">
        <v>23</v>
      </c>
    </row>
    <row r="531" spans="1:2">
      <c r="A531" t="s">
        <v>505</v>
      </c>
      <c r="B531">
        <v>10</v>
      </c>
    </row>
    <row r="532" spans="1:2">
      <c r="A532" t="s">
        <v>506</v>
      </c>
      <c r="B532">
        <v>40</v>
      </c>
    </row>
    <row r="533" spans="1:2">
      <c r="A533" t="s">
        <v>507</v>
      </c>
      <c r="B533">
        <v>40</v>
      </c>
    </row>
    <row r="534" spans="1:2">
      <c r="A534" t="s">
        <v>508</v>
      </c>
      <c r="B534">
        <v>1</v>
      </c>
    </row>
    <row r="535" spans="1:2">
      <c r="A535" t="s">
        <v>509</v>
      </c>
      <c r="B535">
        <v>0</v>
      </c>
    </row>
    <row r="536" spans="1:2">
      <c r="A536" t="s">
        <v>735</v>
      </c>
      <c r="B536">
        <v>0</v>
      </c>
    </row>
    <row r="537" spans="1:2">
      <c r="A537" t="s">
        <v>723</v>
      </c>
      <c r="B537">
        <v>0</v>
      </c>
    </row>
    <row r="538" spans="1:2">
      <c r="A538" t="s">
        <v>510</v>
      </c>
      <c r="B538">
        <v>1</v>
      </c>
    </row>
    <row r="539" spans="1:2">
      <c r="A539" t="s">
        <v>511</v>
      </c>
      <c r="B539">
        <v>0</v>
      </c>
    </row>
    <row r="540" spans="1:2">
      <c r="A540" t="s">
        <v>736</v>
      </c>
      <c r="B540">
        <v>1</v>
      </c>
    </row>
    <row r="541" spans="1:2">
      <c r="A541" t="s">
        <v>737</v>
      </c>
      <c r="B541">
        <v>0</v>
      </c>
    </row>
    <row r="542" spans="1:2">
      <c r="A542" t="s">
        <v>738</v>
      </c>
      <c r="B542">
        <v>0</v>
      </c>
    </row>
    <row r="543" spans="1:2">
      <c r="A543" t="s">
        <v>739</v>
      </c>
      <c r="B543">
        <v>0</v>
      </c>
    </row>
    <row r="544" spans="1:2">
      <c r="A544" t="s">
        <v>740</v>
      </c>
      <c r="B544">
        <v>0</v>
      </c>
    </row>
    <row r="545" spans="1:2">
      <c r="A545" t="s">
        <v>741</v>
      </c>
      <c r="B545">
        <v>0</v>
      </c>
    </row>
    <row r="546" spans="1:2">
      <c r="A546" t="s">
        <v>742</v>
      </c>
      <c r="B546">
        <v>0</v>
      </c>
    </row>
    <row r="547" spans="1:2">
      <c r="A547" t="s">
        <v>512</v>
      </c>
      <c r="B547">
        <v>5</v>
      </c>
    </row>
    <row r="548" spans="1:2">
      <c r="A548" t="s">
        <v>513</v>
      </c>
      <c r="B548">
        <v>0</v>
      </c>
    </row>
    <row r="549" spans="1:2">
      <c r="A549" t="s">
        <v>514</v>
      </c>
      <c r="B549">
        <v>0</v>
      </c>
    </row>
    <row r="550" spans="1:2">
      <c r="A550" t="s">
        <v>515</v>
      </c>
      <c r="B550">
        <v>0</v>
      </c>
    </row>
    <row r="551" spans="1:2">
      <c r="A551" t="s">
        <v>743</v>
      </c>
      <c r="B551">
        <v>0</v>
      </c>
    </row>
    <row r="552" spans="1:2">
      <c r="A552" t="s">
        <v>744</v>
      </c>
      <c r="B552">
        <v>0</v>
      </c>
    </row>
    <row r="553" spans="1:2">
      <c r="A553" t="s">
        <v>516</v>
      </c>
      <c r="B553">
        <v>0</v>
      </c>
    </row>
    <row r="554" spans="1:2">
      <c r="A554" t="s">
        <v>745</v>
      </c>
      <c r="B554">
        <v>0</v>
      </c>
    </row>
    <row r="555" spans="1:2">
      <c r="A555" t="s">
        <v>746</v>
      </c>
      <c r="B555">
        <v>1</v>
      </c>
    </row>
    <row r="556" spans="1:2">
      <c r="A556" t="s">
        <v>517</v>
      </c>
      <c r="B556">
        <v>0</v>
      </c>
    </row>
    <row r="557" spans="1:2">
      <c r="A557" t="s">
        <v>747</v>
      </c>
      <c r="B557">
        <v>0</v>
      </c>
    </row>
    <row r="558" spans="1:2">
      <c r="A558" t="s">
        <v>748</v>
      </c>
      <c r="B558">
        <v>0</v>
      </c>
    </row>
    <row r="559" spans="1:2">
      <c r="A559" t="s">
        <v>749</v>
      </c>
      <c r="B559">
        <v>0</v>
      </c>
    </row>
    <row r="560" spans="1:2">
      <c r="A560" t="s">
        <v>750</v>
      </c>
      <c r="B560">
        <v>0</v>
      </c>
    </row>
    <row r="561" spans="1:2">
      <c r="A561" t="s">
        <v>751</v>
      </c>
      <c r="B561">
        <v>0</v>
      </c>
    </row>
    <row r="562" spans="1:2">
      <c r="A562" t="s">
        <v>752</v>
      </c>
      <c r="B562">
        <v>0</v>
      </c>
    </row>
    <row r="563" spans="1:2">
      <c r="A563" t="s">
        <v>753</v>
      </c>
      <c r="B563">
        <v>0</v>
      </c>
    </row>
    <row r="564" spans="1:2">
      <c r="A564" t="s">
        <v>518</v>
      </c>
      <c r="B564">
        <v>0</v>
      </c>
    </row>
    <row r="565" spans="1:2">
      <c r="A565" t="s">
        <v>754</v>
      </c>
      <c r="B565">
        <v>0</v>
      </c>
    </row>
    <row r="566" spans="1:2">
      <c r="A566" t="s">
        <v>755</v>
      </c>
      <c r="B566">
        <v>0</v>
      </c>
    </row>
    <row r="567" spans="1:2">
      <c r="A567" t="s">
        <v>519</v>
      </c>
      <c r="B567">
        <v>0</v>
      </c>
    </row>
    <row r="568" spans="1:2">
      <c r="A568" t="s">
        <v>756</v>
      </c>
      <c r="B568">
        <v>0</v>
      </c>
    </row>
    <row r="569" spans="1:2">
      <c r="A569" t="s">
        <v>520</v>
      </c>
      <c r="B569">
        <v>0</v>
      </c>
    </row>
    <row r="570" spans="1:2">
      <c r="A570" t="s">
        <v>521</v>
      </c>
      <c r="B570">
        <v>0</v>
      </c>
    </row>
    <row r="571" spans="1:2">
      <c r="A571" t="s">
        <v>522</v>
      </c>
      <c r="B571">
        <v>0</v>
      </c>
    </row>
    <row r="572" spans="1:2">
      <c r="A572" t="s">
        <v>523</v>
      </c>
      <c r="B572">
        <v>0</v>
      </c>
    </row>
    <row r="573" spans="1:2">
      <c r="A573" t="s">
        <v>524</v>
      </c>
      <c r="B573">
        <v>0</v>
      </c>
    </row>
    <row r="574" spans="1:2">
      <c r="A574" t="s">
        <v>525</v>
      </c>
      <c r="B574">
        <v>0</v>
      </c>
    </row>
    <row r="575" spans="1:2">
      <c r="A575" t="s">
        <v>760</v>
      </c>
      <c r="B575">
        <v>7</v>
      </c>
    </row>
    <row r="576" spans="1:2">
      <c r="A576" t="s">
        <v>526</v>
      </c>
      <c r="B576">
        <v>0</v>
      </c>
    </row>
    <row r="577" spans="1:2">
      <c r="A577" t="s">
        <v>757</v>
      </c>
      <c r="B577">
        <v>0</v>
      </c>
    </row>
    <row r="578" spans="1:2">
      <c r="A578" t="s">
        <v>16</v>
      </c>
      <c r="B578">
        <v>27</v>
      </c>
    </row>
    <row r="579" spans="1:2">
      <c r="A579" t="s">
        <v>527</v>
      </c>
      <c r="B579">
        <v>0</v>
      </c>
    </row>
    <row r="580" spans="1:2">
      <c r="A580" t="s">
        <v>528</v>
      </c>
      <c r="B580">
        <v>2</v>
      </c>
    </row>
    <row r="581" spans="1:2">
      <c r="A581" t="s">
        <v>758</v>
      </c>
      <c r="B581">
        <v>0</v>
      </c>
    </row>
    <row r="582" spans="1:2">
      <c r="A582" t="s">
        <v>697</v>
      </c>
      <c r="B582">
        <v>2</v>
      </c>
    </row>
    <row r="583" spans="1:2">
      <c r="A583" t="s">
        <v>22</v>
      </c>
      <c r="B583">
        <v>12</v>
      </c>
    </row>
    <row r="584" spans="1:2">
      <c r="A584" t="s">
        <v>529</v>
      </c>
      <c r="B584">
        <v>20</v>
      </c>
    </row>
    <row r="585" spans="1:2">
      <c r="A585" t="s">
        <v>262</v>
      </c>
      <c r="B585">
        <v>2</v>
      </c>
    </row>
    <row r="586" spans="1:2">
      <c r="A586" t="s">
        <v>263</v>
      </c>
      <c r="B586">
        <v>0</v>
      </c>
    </row>
    <row r="587" spans="1:2">
      <c r="A587" t="s">
        <v>759</v>
      </c>
      <c r="B587">
        <v>0</v>
      </c>
    </row>
    <row r="588" spans="1:2">
      <c r="A588" t="s">
        <v>530</v>
      </c>
      <c r="B588">
        <v>14</v>
      </c>
    </row>
    <row r="589" spans="1:2">
      <c r="A589" t="s">
        <v>531</v>
      </c>
      <c r="B589">
        <v>9</v>
      </c>
    </row>
    <row r="590" spans="1:2">
      <c r="A590" t="s">
        <v>532</v>
      </c>
      <c r="B590">
        <v>0</v>
      </c>
    </row>
    <row r="591" spans="1:2">
      <c r="A591" t="s">
        <v>533</v>
      </c>
      <c r="B591">
        <v>0</v>
      </c>
    </row>
    <row r="592" spans="1:2">
      <c r="A592" t="s">
        <v>264</v>
      </c>
      <c r="B592">
        <v>1</v>
      </c>
    </row>
    <row r="593" spans="1:2">
      <c r="A593" t="s">
        <v>815</v>
      </c>
      <c r="B593">
        <v>27</v>
      </c>
    </row>
    <row r="594" spans="1:2">
      <c r="A594" t="s">
        <v>814</v>
      </c>
      <c r="B594">
        <v>25</v>
      </c>
    </row>
    <row r="595" spans="1:2">
      <c r="A595" t="s">
        <v>816</v>
      </c>
      <c r="B595">
        <v>37</v>
      </c>
    </row>
    <row r="596" spans="1:2">
      <c r="A596" t="s">
        <v>534</v>
      </c>
      <c r="B596">
        <v>86</v>
      </c>
    </row>
    <row r="597" spans="1:2">
      <c r="A597" t="s">
        <v>535</v>
      </c>
      <c r="B597">
        <v>64</v>
      </c>
    </row>
    <row r="598" spans="1:2">
      <c r="A598" t="s">
        <v>536</v>
      </c>
      <c r="B598">
        <v>0</v>
      </c>
    </row>
    <row r="599" spans="1:2">
      <c r="A599" t="s">
        <v>537</v>
      </c>
      <c r="B599">
        <v>63</v>
      </c>
    </row>
    <row r="600" spans="1:2">
      <c r="A600" t="s">
        <v>538</v>
      </c>
      <c r="B600">
        <v>238</v>
      </c>
    </row>
    <row r="601" spans="1:2">
      <c r="A601" t="s">
        <v>539</v>
      </c>
      <c r="B601">
        <v>195</v>
      </c>
    </row>
    <row r="602" spans="1:2">
      <c r="A602" t="s">
        <v>540</v>
      </c>
      <c r="B602">
        <v>15</v>
      </c>
    </row>
    <row r="603" spans="1:2">
      <c r="A603" t="s">
        <v>541</v>
      </c>
      <c r="B603">
        <v>0</v>
      </c>
    </row>
    <row r="604" spans="1:2">
      <c r="A604" t="s">
        <v>542</v>
      </c>
      <c r="B604">
        <v>2</v>
      </c>
    </row>
    <row r="605" spans="1:2">
      <c r="A605" t="s">
        <v>543</v>
      </c>
      <c r="B605">
        <v>316</v>
      </c>
    </row>
    <row r="606" spans="1:2">
      <c r="A606" t="s">
        <v>544</v>
      </c>
      <c r="B606">
        <v>0</v>
      </c>
    </row>
    <row r="607" spans="1:2">
      <c r="A607" t="s">
        <v>545</v>
      </c>
      <c r="B607">
        <v>0</v>
      </c>
    </row>
    <row r="608" spans="1:2">
      <c r="A608" t="s">
        <v>546</v>
      </c>
      <c r="B608">
        <v>67</v>
      </c>
    </row>
    <row r="609" spans="1:2">
      <c r="A609" t="s">
        <v>547</v>
      </c>
      <c r="B609">
        <v>85</v>
      </c>
    </row>
    <row r="610" spans="1:2">
      <c r="A610" t="s">
        <v>548</v>
      </c>
      <c r="B610">
        <v>74</v>
      </c>
    </row>
    <row r="611" spans="1:2">
      <c r="A611" t="s">
        <v>549</v>
      </c>
      <c r="B611">
        <v>125</v>
      </c>
    </row>
    <row r="612" spans="1:2">
      <c r="A612" t="s">
        <v>550</v>
      </c>
      <c r="B612">
        <v>79</v>
      </c>
    </row>
    <row r="613" spans="1:2">
      <c r="A613" t="s">
        <v>551</v>
      </c>
      <c r="B613">
        <v>130</v>
      </c>
    </row>
    <row r="614" spans="1:2">
      <c r="A614" t="s">
        <v>552</v>
      </c>
      <c r="B614">
        <v>0</v>
      </c>
    </row>
    <row r="615" spans="1:2">
      <c r="A615" t="s">
        <v>809</v>
      </c>
      <c r="B615">
        <v>11</v>
      </c>
    </row>
    <row r="616" spans="1:2">
      <c r="A616" t="s">
        <v>553</v>
      </c>
      <c r="B616">
        <v>0</v>
      </c>
    </row>
    <row r="617" spans="1:2">
      <c r="A617" t="s">
        <v>554</v>
      </c>
      <c r="B617">
        <v>53</v>
      </c>
    </row>
    <row r="618" spans="1:2">
      <c r="A618" t="s">
        <v>555</v>
      </c>
      <c r="B618">
        <v>0</v>
      </c>
    </row>
    <row r="619" spans="1:2">
      <c r="A619" t="s">
        <v>556</v>
      </c>
      <c r="B619">
        <v>0</v>
      </c>
    </row>
    <row r="620" spans="1:2">
      <c r="A620" t="s">
        <v>557</v>
      </c>
      <c r="B620">
        <v>169</v>
      </c>
    </row>
    <row r="621" spans="1:2">
      <c r="A621" t="s">
        <v>558</v>
      </c>
      <c r="B621">
        <v>146</v>
      </c>
    </row>
    <row r="622" spans="1:2">
      <c r="A622" t="s">
        <v>559</v>
      </c>
      <c r="B622">
        <v>0</v>
      </c>
    </row>
    <row r="623" spans="1:2">
      <c r="A623" t="s">
        <v>560</v>
      </c>
      <c r="B623">
        <v>174</v>
      </c>
    </row>
    <row r="624" spans="1:2">
      <c r="A624" t="s">
        <v>561</v>
      </c>
      <c r="B624">
        <v>147</v>
      </c>
    </row>
    <row r="625" spans="1:2">
      <c r="A625" t="s">
        <v>265</v>
      </c>
      <c r="B625">
        <v>50</v>
      </c>
    </row>
    <row r="626" spans="1:2">
      <c r="A626" t="s">
        <v>266</v>
      </c>
      <c r="B626">
        <v>50</v>
      </c>
    </row>
    <row r="627" spans="1:2">
      <c r="A627" t="s">
        <v>267</v>
      </c>
      <c r="B627">
        <v>50</v>
      </c>
    </row>
    <row r="628" spans="1:2">
      <c r="A628" t="s">
        <v>268</v>
      </c>
      <c r="B628">
        <v>50</v>
      </c>
    </row>
    <row r="629" spans="1:2">
      <c r="A629" t="s">
        <v>562</v>
      </c>
      <c r="B629">
        <v>50</v>
      </c>
    </row>
    <row r="630" spans="1:2">
      <c r="A630" t="s">
        <v>563</v>
      </c>
      <c r="B630">
        <v>50</v>
      </c>
    </row>
    <row r="631" spans="1:2">
      <c r="A631" t="s">
        <v>678</v>
      </c>
      <c r="B631">
        <v>50</v>
      </c>
    </row>
    <row r="632" spans="1:2">
      <c r="A632" t="s">
        <v>269</v>
      </c>
      <c r="B632">
        <v>50</v>
      </c>
    </row>
    <row r="633" spans="1:2">
      <c r="A633" t="s">
        <v>270</v>
      </c>
      <c r="B633">
        <v>50</v>
      </c>
    </row>
    <row r="634" spans="1:2">
      <c r="A634" t="s">
        <v>271</v>
      </c>
      <c r="B634">
        <v>50</v>
      </c>
    </row>
    <row r="635" spans="1:2">
      <c r="A635" t="s">
        <v>564</v>
      </c>
      <c r="B635">
        <v>50</v>
      </c>
    </row>
    <row r="636" spans="1:2">
      <c r="A636" t="s">
        <v>272</v>
      </c>
      <c r="B636">
        <v>50</v>
      </c>
    </row>
    <row r="637" spans="1:2">
      <c r="A637" t="s">
        <v>273</v>
      </c>
      <c r="B637">
        <v>50</v>
      </c>
    </row>
    <row r="638" spans="1:2">
      <c r="A638" t="s">
        <v>274</v>
      </c>
      <c r="B638">
        <v>50</v>
      </c>
    </row>
    <row r="639" spans="1:2">
      <c r="A639" t="s">
        <v>275</v>
      </c>
      <c r="B639">
        <v>50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Warehouse Inventory</vt:lpstr>
      <vt:lpstr>Warehouse B</vt:lpstr>
      <vt:lpstr>PARTS</vt:lpstr>
      <vt:lpstr>Listing Inventory</vt:lpstr>
      <vt:lpstr>Total Quantity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diaoo</cp:lastModifiedBy>
  <dcterms:created xsi:type="dcterms:W3CDTF">2016-02-22T13:36:06Z</dcterms:created>
  <dcterms:modified xsi:type="dcterms:W3CDTF">2018-10-12T18:15:24Z</dcterms:modified>
</cp:coreProperties>
</file>